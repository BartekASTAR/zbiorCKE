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omiejStarosta\Documents\zbiorCKE\arkusze\cze2025pr\zad4\"/>
    </mc:Choice>
  </mc:AlternateContent>
  <xr:revisionPtr revIDLastSave="0" documentId="13_ncr:1_{662E35AB-E235-474D-AC7C-DD227F9362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towoltaika" sheetId="2" r:id="rId1"/>
    <sheet name="6.1" sheetId="3" r:id="rId2"/>
    <sheet name="6.2" sheetId="4" r:id="rId3"/>
    <sheet name="6.3" sheetId="5" r:id="rId4"/>
    <sheet name="6.4" sheetId="6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8" i="4" l="1"/>
  <c r="V8" i="4"/>
  <c r="X8" i="4" s="1"/>
  <c r="X7" i="4"/>
  <c r="W7" i="4"/>
  <c r="V7" i="4"/>
  <c r="W6" i="4"/>
  <c r="V6" i="4"/>
  <c r="X6" i="4" s="1"/>
  <c r="W5" i="4"/>
  <c r="V5" i="4"/>
  <c r="X5" i="4" s="1"/>
  <c r="W4" i="4"/>
  <c r="V4" i="4"/>
  <c r="X4" i="4" s="1"/>
  <c r="X3" i="4"/>
  <c r="W3" i="4"/>
  <c r="V3" i="4"/>
  <c r="W2" i="4"/>
  <c r="V2" i="4"/>
  <c r="X2" i="4" s="1"/>
  <c r="Y2" i="4" s="1"/>
  <c r="H4" i="4"/>
  <c r="H5" i="4"/>
  <c r="H6" i="4"/>
  <c r="J6" i="4" s="1"/>
  <c r="H7" i="4"/>
  <c r="J7" i="4" s="1"/>
  <c r="H8" i="4"/>
  <c r="J8" i="4" s="1"/>
  <c r="H9" i="4"/>
  <c r="J9" i="4" s="1"/>
  <c r="K9" i="4" s="1"/>
  <c r="H10" i="4"/>
  <c r="H11" i="4"/>
  <c r="H12" i="4"/>
  <c r="J12" i="4" s="1"/>
  <c r="K12" i="4" s="1"/>
  <c r="H13" i="4"/>
  <c r="J13" i="4" s="1"/>
  <c r="K13" i="4" s="1"/>
  <c r="H14" i="4"/>
  <c r="J14" i="4" s="1"/>
  <c r="H15" i="4"/>
  <c r="J15" i="4" s="1"/>
  <c r="K15" i="4" s="1"/>
  <c r="H16" i="4"/>
  <c r="J16" i="4" s="1"/>
  <c r="K16" i="4" s="1"/>
  <c r="H17" i="4"/>
  <c r="J17" i="4" s="1"/>
  <c r="H18" i="4"/>
  <c r="J18" i="4" s="1"/>
  <c r="H19" i="4"/>
  <c r="J19" i="4" s="1"/>
  <c r="K19" i="4" s="1"/>
  <c r="H20" i="4"/>
  <c r="H21" i="4"/>
  <c r="H22" i="4"/>
  <c r="H23" i="4"/>
  <c r="H24" i="4"/>
  <c r="J24" i="4" s="1"/>
  <c r="H25" i="4"/>
  <c r="J25" i="4" s="1"/>
  <c r="H26" i="4"/>
  <c r="H27" i="4"/>
  <c r="H28" i="4"/>
  <c r="H29" i="4"/>
  <c r="H30" i="4"/>
  <c r="J30" i="4" s="1"/>
  <c r="H31" i="4"/>
  <c r="J31" i="4" s="1"/>
  <c r="K31" i="4" s="1"/>
  <c r="H32" i="4"/>
  <c r="J32" i="4" s="1"/>
  <c r="K32" i="4" s="1"/>
  <c r="H33" i="4"/>
  <c r="J33" i="4" s="1"/>
  <c r="K33" i="4" s="1"/>
  <c r="H34" i="4"/>
  <c r="J34" i="4" s="1"/>
  <c r="K34" i="4" s="1"/>
  <c r="H35" i="4"/>
  <c r="J35" i="4" s="1"/>
  <c r="K35" i="4" s="1"/>
  <c r="H36" i="4"/>
  <c r="H37" i="4"/>
  <c r="H38" i="4"/>
  <c r="H39" i="4"/>
  <c r="H40" i="4"/>
  <c r="J40" i="4" s="1"/>
  <c r="H41" i="4"/>
  <c r="J41" i="4" s="1"/>
  <c r="K41" i="4" s="1"/>
  <c r="H42" i="4"/>
  <c r="H43" i="4"/>
  <c r="H44" i="4"/>
  <c r="J44" i="4" s="1"/>
  <c r="H45" i="4"/>
  <c r="J45" i="4" s="1"/>
  <c r="H46" i="4"/>
  <c r="H47" i="4"/>
  <c r="H48" i="4"/>
  <c r="J48" i="4" s="1"/>
  <c r="H49" i="4"/>
  <c r="J49" i="4" s="1"/>
  <c r="H50" i="4"/>
  <c r="J50" i="4" s="1"/>
  <c r="K50" i="4" s="1"/>
  <c r="H51" i="4"/>
  <c r="J51" i="4" s="1"/>
  <c r="K51" i="4" s="1"/>
  <c r="H52" i="4"/>
  <c r="H53" i="4"/>
  <c r="H54" i="4"/>
  <c r="H55" i="4"/>
  <c r="H56" i="4"/>
  <c r="J56" i="4" s="1"/>
  <c r="H57" i="4"/>
  <c r="J57" i="4" s="1"/>
  <c r="K57" i="4" s="1"/>
  <c r="H58" i="4"/>
  <c r="H59" i="4"/>
  <c r="H60" i="4"/>
  <c r="H61" i="4"/>
  <c r="J61" i="4" s="1"/>
  <c r="K61" i="4" s="1"/>
  <c r="H62" i="4"/>
  <c r="J62" i="4" s="1"/>
  <c r="K62" i="4" s="1"/>
  <c r="H63" i="4"/>
  <c r="J63" i="4" s="1"/>
  <c r="K63" i="4" s="1"/>
  <c r="H64" i="4"/>
  <c r="J64" i="4" s="1"/>
  <c r="K64" i="4" s="1"/>
  <c r="H65" i="4"/>
  <c r="J65" i="4" s="1"/>
  <c r="H66" i="4"/>
  <c r="J66" i="4" s="1"/>
  <c r="K66" i="4" s="1"/>
  <c r="H67" i="4"/>
  <c r="J67" i="4" s="1"/>
  <c r="K67" i="4" s="1"/>
  <c r="K68" i="4" s="1"/>
  <c r="H68" i="4"/>
  <c r="H69" i="4"/>
  <c r="H70" i="4"/>
  <c r="H71" i="4"/>
  <c r="H72" i="4"/>
  <c r="J72" i="4" s="1"/>
  <c r="H73" i="4"/>
  <c r="J73" i="4" s="1"/>
  <c r="H74" i="4"/>
  <c r="H75" i="4"/>
  <c r="H76" i="4"/>
  <c r="H77" i="4"/>
  <c r="H78" i="4"/>
  <c r="H79" i="4"/>
  <c r="H80" i="4"/>
  <c r="J80" i="4" s="1"/>
  <c r="K80" i="4" s="1"/>
  <c r="H81" i="4"/>
  <c r="J81" i="4" s="1"/>
  <c r="K81" i="4" s="1"/>
  <c r="H82" i="4"/>
  <c r="J82" i="4" s="1"/>
  <c r="K82" i="4" s="1"/>
  <c r="H83" i="4"/>
  <c r="J83" i="4" s="1"/>
  <c r="K83" i="4" s="1"/>
  <c r="K84" i="4" s="1"/>
  <c r="H84" i="4"/>
  <c r="H85" i="4"/>
  <c r="H86" i="4"/>
  <c r="H87" i="4"/>
  <c r="J87" i="4" s="1"/>
  <c r="K87" i="4" s="1"/>
  <c r="H88" i="4"/>
  <c r="J88" i="4" s="1"/>
  <c r="K88" i="4" s="1"/>
  <c r="H89" i="4"/>
  <c r="J89" i="4" s="1"/>
  <c r="H90" i="4"/>
  <c r="H91" i="4"/>
  <c r="H92" i="4"/>
  <c r="H93" i="4"/>
  <c r="H94" i="4"/>
  <c r="H95" i="4"/>
  <c r="H96" i="4"/>
  <c r="H97" i="4"/>
  <c r="H98" i="4"/>
  <c r="J98" i="4" s="1"/>
  <c r="H99" i="4"/>
  <c r="J99" i="4" s="1"/>
  <c r="H100" i="4"/>
  <c r="H101" i="4"/>
  <c r="H102" i="4"/>
  <c r="H103" i="4"/>
  <c r="J103" i="4" s="1"/>
  <c r="H104" i="4"/>
  <c r="J104" i="4" s="1"/>
  <c r="H105" i="4"/>
  <c r="J105" i="4" s="1"/>
  <c r="H106" i="4"/>
  <c r="H107" i="4"/>
  <c r="H108" i="4"/>
  <c r="H109" i="4"/>
  <c r="J109" i="4" s="1"/>
  <c r="K109" i="4" s="1"/>
  <c r="K110" i="4" s="1"/>
  <c r="H110" i="4"/>
  <c r="H111" i="4"/>
  <c r="J111" i="4" s="1"/>
  <c r="K111" i="4" s="1"/>
  <c r="H112" i="4"/>
  <c r="J112" i="4" s="1"/>
  <c r="K112" i="4" s="1"/>
  <c r="H113" i="4"/>
  <c r="J113" i="4" s="1"/>
  <c r="K113" i="4" s="1"/>
  <c r="H114" i="4"/>
  <c r="J114" i="4" s="1"/>
  <c r="K114" i="4" s="1"/>
  <c r="H115" i="4"/>
  <c r="J115" i="4" s="1"/>
  <c r="K115" i="4" s="1"/>
  <c r="H116" i="4"/>
  <c r="H117" i="4"/>
  <c r="H118" i="4"/>
  <c r="H119" i="4"/>
  <c r="H120" i="4"/>
  <c r="J120" i="4" s="1"/>
  <c r="H121" i="4"/>
  <c r="J121" i="4" s="1"/>
  <c r="H122" i="4"/>
  <c r="H123" i="4"/>
  <c r="J123" i="4" s="1"/>
  <c r="H124" i="4"/>
  <c r="J124" i="4" s="1"/>
  <c r="K124" i="4" s="1"/>
  <c r="H125" i="4"/>
  <c r="J125" i="4" s="1"/>
  <c r="K125" i="4" s="1"/>
  <c r="H126" i="4"/>
  <c r="H127" i="4"/>
  <c r="J127" i="4" s="1"/>
  <c r="K127" i="4" s="1"/>
  <c r="H128" i="4"/>
  <c r="J128" i="4" s="1"/>
  <c r="K128" i="4" s="1"/>
  <c r="H129" i="4"/>
  <c r="J129" i="4" s="1"/>
  <c r="H130" i="4"/>
  <c r="J130" i="4" s="1"/>
  <c r="K130" i="4" s="1"/>
  <c r="H131" i="4"/>
  <c r="J131" i="4" s="1"/>
  <c r="K131" i="4" s="1"/>
  <c r="H132" i="4"/>
  <c r="H133" i="4"/>
  <c r="H134" i="4"/>
  <c r="J134" i="4" s="1"/>
  <c r="H135" i="4"/>
  <c r="J135" i="4" s="1"/>
  <c r="H136" i="4"/>
  <c r="J136" i="4" s="1"/>
  <c r="H137" i="4"/>
  <c r="J137" i="4" s="1"/>
  <c r="H138" i="4"/>
  <c r="H139" i="4"/>
  <c r="H140" i="4"/>
  <c r="J140" i="4" s="1"/>
  <c r="K140" i="4" s="1"/>
  <c r="H141" i="4"/>
  <c r="J141" i="4" s="1"/>
  <c r="K141" i="4" s="1"/>
  <c r="H142" i="4"/>
  <c r="J142" i="4" s="1"/>
  <c r="H143" i="4"/>
  <c r="H144" i="4"/>
  <c r="H145" i="4"/>
  <c r="H146" i="4"/>
  <c r="H147" i="4"/>
  <c r="H148" i="4"/>
  <c r="H149" i="4"/>
  <c r="H150" i="4"/>
  <c r="H151" i="4"/>
  <c r="H152" i="4"/>
  <c r="J152" i="4" s="1"/>
  <c r="H153" i="4"/>
  <c r="J153" i="4" s="1"/>
  <c r="H154" i="4"/>
  <c r="H155" i="4"/>
  <c r="H156" i="4"/>
  <c r="H157" i="4"/>
  <c r="H158" i="4"/>
  <c r="J158" i="4" s="1"/>
  <c r="K158" i="4" s="1"/>
  <c r="H159" i="4"/>
  <c r="J159" i="4" s="1"/>
  <c r="K159" i="4" s="1"/>
  <c r="H160" i="4"/>
  <c r="J160" i="4" s="1"/>
  <c r="K160" i="4" s="1"/>
  <c r="H161" i="4"/>
  <c r="J161" i="4" s="1"/>
  <c r="K161" i="4" s="1"/>
  <c r="H162" i="4"/>
  <c r="J162" i="4" s="1"/>
  <c r="K162" i="4" s="1"/>
  <c r="H163" i="4"/>
  <c r="J163" i="4" s="1"/>
  <c r="K163" i="4" s="1"/>
  <c r="H164" i="4"/>
  <c r="H165" i="4"/>
  <c r="H166" i="4"/>
  <c r="H167" i="4"/>
  <c r="H168" i="4"/>
  <c r="J168" i="4" s="1"/>
  <c r="H169" i="4"/>
  <c r="J169" i="4" s="1"/>
  <c r="H170" i="4"/>
  <c r="H171" i="4"/>
  <c r="H172" i="4"/>
  <c r="J172" i="4" s="1"/>
  <c r="K172" i="4" s="1"/>
  <c r="H173" i="4"/>
  <c r="J173" i="4" s="1"/>
  <c r="K173" i="4" s="1"/>
  <c r="H174" i="4"/>
  <c r="H175" i="4"/>
  <c r="J175" i="4" s="1"/>
  <c r="K175" i="4" s="1"/>
  <c r="H176" i="4"/>
  <c r="J176" i="4" s="1"/>
  <c r="K176" i="4" s="1"/>
  <c r="H177" i="4"/>
  <c r="J177" i="4" s="1"/>
  <c r="K177" i="4" s="1"/>
  <c r="H178" i="4"/>
  <c r="J178" i="4" s="1"/>
  <c r="K178" i="4" s="1"/>
  <c r="H179" i="4"/>
  <c r="J179" i="4" s="1"/>
  <c r="K179" i="4" s="1"/>
  <c r="H180" i="4"/>
  <c r="H181" i="4"/>
  <c r="H182" i="4"/>
  <c r="H183" i="4"/>
  <c r="H184" i="4"/>
  <c r="J184" i="4" s="1"/>
  <c r="K184" i="4" s="1"/>
  <c r="K185" i="4" s="1"/>
  <c r="K186" i="4" s="1"/>
  <c r="H185" i="4"/>
  <c r="J185" i="4" s="1"/>
  <c r="H186" i="4"/>
  <c r="H187" i="4"/>
  <c r="H188" i="4"/>
  <c r="H189" i="4"/>
  <c r="H190" i="4"/>
  <c r="J190" i="4" s="1"/>
  <c r="K190" i="4" s="1"/>
  <c r="H191" i="4"/>
  <c r="J191" i="4" s="1"/>
  <c r="K191" i="4" s="1"/>
  <c r="H192" i="4"/>
  <c r="H193" i="4"/>
  <c r="H194" i="4"/>
  <c r="J194" i="4" s="1"/>
  <c r="H195" i="4"/>
  <c r="J195" i="4" s="1"/>
  <c r="K195" i="4" s="1"/>
  <c r="H196" i="4"/>
  <c r="H197" i="4"/>
  <c r="H198" i="4"/>
  <c r="H199" i="4"/>
  <c r="H200" i="4"/>
  <c r="J200" i="4" s="1"/>
  <c r="K200" i="4" s="1"/>
  <c r="H201" i="4"/>
  <c r="J201" i="4" s="1"/>
  <c r="K201" i="4" s="1"/>
  <c r="H202" i="4"/>
  <c r="H203" i="4"/>
  <c r="H204" i="4"/>
  <c r="H205" i="4"/>
  <c r="J205" i="4" s="1"/>
  <c r="K205" i="4" s="1"/>
  <c r="H206" i="4"/>
  <c r="H207" i="4"/>
  <c r="J207" i="4" s="1"/>
  <c r="K207" i="4" s="1"/>
  <c r="H208" i="4"/>
  <c r="J208" i="4" s="1"/>
  <c r="H209" i="4"/>
  <c r="J209" i="4" s="1"/>
  <c r="H210" i="4"/>
  <c r="J210" i="4" s="1"/>
  <c r="H211" i="4"/>
  <c r="J211" i="4" s="1"/>
  <c r="K211" i="4" s="1"/>
  <c r="H212" i="4"/>
  <c r="H213" i="4"/>
  <c r="H214" i="4"/>
  <c r="H215" i="4"/>
  <c r="H216" i="4"/>
  <c r="J216" i="4" s="1"/>
  <c r="K216" i="4" s="1"/>
  <c r="K217" i="4" s="1"/>
  <c r="H217" i="4"/>
  <c r="J217" i="4" s="1"/>
  <c r="H218" i="4"/>
  <c r="H219" i="4"/>
  <c r="H220" i="4"/>
  <c r="H221" i="4"/>
  <c r="J221" i="4" s="1"/>
  <c r="K221" i="4" s="1"/>
  <c r="H222" i="4"/>
  <c r="H223" i="4"/>
  <c r="J223" i="4" s="1"/>
  <c r="H224" i="4"/>
  <c r="J224" i="4" s="1"/>
  <c r="K224" i="4" s="1"/>
  <c r="H225" i="4"/>
  <c r="J225" i="4" s="1"/>
  <c r="K225" i="4" s="1"/>
  <c r="H226" i="4"/>
  <c r="J226" i="4" s="1"/>
  <c r="K226" i="4" s="1"/>
  <c r="H227" i="4"/>
  <c r="J227" i="4" s="1"/>
  <c r="K227" i="4" s="1"/>
  <c r="H228" i="4"/>
  <c r="H229" i="4"/>
  <c r="H230" i="4"/>
  <c r="H231" i="4"/>
  <c r="J231" i="4" s="1"/>
  <c r="H232" i="4"/>
  <c r="J232" i="4" s="1"/>
  <c r="K232" i="4" s="1"/>
  <c r="K233" i="4" s="1"/>
  <c r="H233" i="4"/>
  <c r="J233" i="4" s="1"/>
  <c r="H234" i="4"/>
  <c r="H235" i="4"/>
  <c r="H236" i="4"/>
  <c r="H237" i="4"/>
  <c r="H238" i="4"/>
  <c r="H239" i="4"/>
  <c r="H240" i="4"/>
  <c r="H241" i="4"/>
  <c r="J241" i="4" s="1"/>
  <c r="K241" i="4" s="1"/>
  <c r="H242" i="4"/>
  <c r="J242" i="4" s="1"/>
  <c r="K242" i="4" s="1"/>
  <c r="H243" i="4"/>
  <c r="J243" i="4" s="1"/>
  <c r="K243" i="4" s="1"/>
  <c r="H244" i="4"/>
  <c r="H245" i="4"/>
  <c r="H246" i="4"/>
  <c r="H247" i="4"/>
  <c r="H248" i="4"/>
  <c r="J248" i="4" s="1"/>
  <c r="H249" i="4"/>
  <c r="J249" i="4" s="1"/>
  <c r="H250" i="4"/>
  <c r="H251" i="4"/>
  <c r="J251" i="4" s="1"/>
  <c r="H252" i="4"/>
  <c r="J252" i="4" s="1"/>
  <c r="K252" i="4" s="1"/>
  <c r="H253" i="4"/>
  <c r="H254" i="4"/>
  <c r="H255" i="4"/>
  <c r="H256" i="4"/>
  <c r="H257" i="4"/>
  <c r="H258" i="4"/>
  <c r="H259" i="4"/>
  <c r="H260" i="4"/>
  <c r="H261" i="4"/>
  <c r="H262" i="4"/>
  <c r="J262" i="4" s="1"/>
  <c r="K262" i="4" s="1"/>
  <c r="H263" i="4"/>
  <c r="J263" i="4" s="1"/>
  <c r="K263" i="4" s="1"/>
  <c r="H264" i="4"/>
  <c r="J264" i="4" s="1"/>
  <c r="K264" i="4" s="1"/>
  <c r="K265" i="4" s="1"/>
  <c r="K266" i="4" s="1"/>
  <c r="H265" i="4"/>
  <c r="J265" i="4" s="1"/>
  <c r="H266" i="4"/>
  <c r="H267" i="4"/>
  <c r="H268" i="4"/>
  <c r="J268" i="4" s="1"/>
  <c r="H269" i="4"/>
  <c r="J269" i="4" s="1"/>
  <c r="H270" i="4"/>
  <c r="J270" i="4" s="1"/>
  <c r="H271" i="4"/>
  <c r="J271" i="4" s="1"/>
  <c r="K271" i="4" s="1"/>
  <c r="H272" i="4"/>
  <c r="J272" i="4" s="1"/>
  <c r="K272" i="4" s="1"/>
  <c r="H273" i="4"/>
  <c r="J273" i="4" s="1"/>
  <c r="K273" i="4" s="1"/>
  <c r="H274" i="4"/>
  <c r="J274" i="4" s="1"/>
  <c r="K274" i="4" s="1"/>
  <c r="H275" i="4"/>
  <c r="J275" i="4" s="1"/>
  <c r="K275" i="4" s="1"/>
  <c r="H276" i="4"/>
  <c r="H277" i="4"/>
  <c r="H278" i="4"/>
  <c r="H279" i="4"/>
  <c r="H280" i="4"/>
  <c r="J280" i="4" s="1"/>
  <c r="H281" i="4"/>
  <c r="J281" i="4" s="1"/>
  <c r="H282" i="4"/>
  <c r="H283" i="4"/>
  <c r="H284" i="4"/>
  <c r="H285" i="4"/>
  <c r="H286" i="4"/>
  <c r="J286" i="4" s="1"/>
  <c r="H287" i="4"/>
  <c r="J287" i="4" s="1"/>
  <c r="K287" i="4" s="1"/>
  <c r="H288" i="4"/>
  <c r="J288" i="4" s="1"/>
  <c r="K288" i="4" s="1"/>
  <c r="H289" i="4"/>
  <c r="J289" i="4" s="1"/>
  <c r="K289" i="4" s="1"/>
  <c r="H290" i="4"/>
  <c r="J290" i="4" s="1"/>
  <c r="K290" i="4" s="1"/>
  <c r="H291" i="4"/>
  <c r="J291" i="4" s="1"/>
  <c r="K291" i="4" s="1"/>
  <c r="H292" i="4"/>
  <c r="H293" i="4"/>
  <c r="H294" i="4"/>
  <c r="H295" i="4"/>
  <c r="H296" i="4"/>
  <c r="J296" i="4" s="1"/>
  <c r="H297" i="4"/>
  <c r="H298" i="4"/>
  <c r="H299" i="4"/>
  <c r="J299" i="4" s="1"/>
  <c r="K299" i="4" s="1"/>
  <c r="H300" i="4"/>
  <c r="J300" i="4" s="1"/>
  <c r="H301" i="4"/>
  <c r="H302" i="4"/>
  <c r="H303" i="4"/>
  <c r="J303" i="4" s="1"/>
  <c r="K303" i="4" s="1"/>
  <c r="H304" i="4"/>
  <c r="J304" i="4" s="1"/>
  <c r="K304" i="4" s="1"/>
  <c r="H305" i="4"/>
  <c r="J305" i="4" s="1"/>
  <c r="K305" i="4" s="1"/>
  <c r="H306" i="4"/>
  <c r="J306" i="4" s="1"/>
  <c r="K306" i="4" s="1"/>
  <c r="H307" i="4"/>
  <c r="J307" i="4" s="1"/>
  <c r="K307" i="4" s="1"/>
  <c r="H308" i="4"/>
  <c r="H309" i="4"/>
  <c r="H310" i="4"/>
  <c r="H311" i="4"/>
  <c r="J311" i="4" s="1"/>
  <c r="H312" i="4"/>
  <c r="J312" i="4" s="1"/>
  <c r="H313" i="4"/>
  <c r="H314" i="4"/>
  <c r="H315" i="4"/>
  <c r="H316" i="4"/>
  <c r="J316" i="4" s="1"/>
  <c r="H317" i="4"/>
  <c r="J317" i="4" s="1"/>
  <c r="K317" i="4" s="1"/>
  <c r="H318" i="4"/>
  <c r="H319" i="4"/>
  <c r="J319" i="4" s="1"/>
  <c r="K319" i="4" s="1"/>
  <c r="H320" i="4"/>
  <c r="J320" i="4" s="1"/>
  <c r="K320" i="4" s="1"/>
  <c r="H321" i="4"/>
  <c r="J321" i="4" s="1"/>
  <c r="H322" i="4"/>
  <c r="J322" i="4" s="1"/>
  <c r="H323" i="4"/>
  <c r="J323" i="4" s="1"/>
  <c r="K323" i="4" s="1"/>
  <c r="H324" i="4"/>
  <c r="H325" i="4"/>
  <c r="H326" i="4"/>
  <c r="H327" i="4"/>
  <c r="H328" i="4"/>
  <c r="J328" i="4" s="1"/>
  <c r="K328" i="4" s="1"/>
  <c r="H329" i="4"/>
  <c r="H330" i="4"/>
  <c r="H331" i="4"/>
  <c r="H332" i="4"/>
  <c r="H333" i="4"/>
  <c r="J333" i="4" s="1"/>
  <c r="H334" i="4"/>
  <c r="J334" i="4" s="1"/>
  <c r="H335" i="4"/>
  <c r="H336" i="4"/>
  <c r="J336" i="4" s="1"/>
  <c r="K336" i="4" s="1"/>
  <c r="H337" i="4"/>
  <c r="J337" i="4" s="1"/>
  <c r="H338" i="4"/>
  <c r="J338" i="4" s="1"/>
  <c r="H339" i="4"/>
  <c r="J339" i="4" s="1"/>
  <c r="K339" i="4" s="1"/>
  <c r="H340" i="4"/>
  <c r="H341" i="4"/>
  <c r="H342" i="4"/>
  <c r="H343" i="4"/>
  <c r="J343" i="4" s="1"/>
  <c r="K343" i="4" s="1"/>
  <c r="H344" i="4"/>
  <c r="J344" i="4" s="1"/>
  <c r="H345" i="4"/>
  <c r="H346" i="4"/>
  <c r="H347" i="4"/>
  <c r="H348" i="4"/>
  <c r="H349" i="4"/>
  <c r="H350" i="4"/>
  <c r="J350" i="4" s="1"/>
  <c r="H351" i="4"/>
  <c r="J351" i="4" s="1"/>
  <c r="K351" i="4" s="1"/>
  <c r="H352" i="4"/>
  <c r="H353" i="4"/>
  <c r="H354" i="4"/>
  <c r="J354" i="4" s="1"/>
  <c r="K354" i="4" s="1"/>
  <c r="H355" i="4"/>
  <c r="J355" i="4" s="1"/>
  <c r="K355" i="4" s="1"/>
  <c r="K356" i="4" s="1"/>
  <c r="H356" i="4"/>
  <c r="H357" i="4"/>
  <c r="H358" i="4"/>
  <c r="H359" i="4"/>
  <c r="H360" i="4"/>
  <c r="J360" i="4" s="1"/>
  <c r="H361" i="4"/>
  <c r="H362" i="4"/>
  <c r="H363" i="4"/>
  <c r="H364" i="4"/>
  <c r="H365" i="4"/>
  <c r="J365" i="4" s="1"/>
  <c r="K365" i="4" s="1"/>
  <c r="H366" i="4"/>
  <c r="H3" i="4"/>
  <c r="K5" i="4"/>
  <c r="K6" i="4"/>
  <c r="K7" i="4"/>
  <c r="K8" i="4"/>
  <c r="K11" i="4"/>
  <c r="K14" i="4"/>
  <c r="K27" i="4"/>
  <c r="K40" i="4"/>
  <c r="K44" i="4"/>
  <c r="K45" i="4"/>
  <c r="K46" i="4"/>
  <c r="K48" i="4"/>
  <c r="K49" i="4"/>
  <c r="K69" i="4"/>
  <c r="K70" i="4"/>
  <c r="K85" i="4"/>
  <c r="K86" i="4"/>
  <c r="K89" i="4"/>
  <c r="K102" i="4"/>
  <c r="K103" i="4"/>
  <c r="K104" i="4"/>
  <c r="K105" i="4"/>
  <c r="K106" i="4"/>
  <c r="K116" i="4"/>
  <c r="K121" i="4"/>
  <c r="K122" i="4"/>
  <c r="K134" i="4"/>
  <c r="K135" i="4"/>
  <c r="K142" i="4"/>
  <c r="K153" i="4"/>
  <c r="K154" i="4"/>
  <c r="K169" i="4"/>
  <c r="K174" i="4"/>
  <c r="K182" i="4"/>
  <c r="K183" i="4"/>
  <c r="K198" i="4"/>
  <c r="K199" i="4"/>
  <c r="K204" i="4"/>
  <c r="K206" i="4"/>
  <c r="K212" i="4"/>
  <c r="K214" i="4"/>
  <c r="K234" i="4"/>
  <c r="K244" i="4"/>
  <c r="K245" i="4"/>
  <c r="K247" i="4"/>
  <c r="K248" i="4"/>
  <c r="K249" i="4"/>
  <c r="K250" i="4"/>
  <c r="K251" i="4"/>
  <c r="K270" i="4"/>
  <c r="K278" i="4"/>
  <c r="K281" i="4"/>
  <c r="K283" i="4"/>
  <c r="K297" i="4"/>
  <c r="K300" i="4"/>
  <c r="K301" i="4"/>
  <c r="K312" i="4"/>
  <c r="K313" i="4"/>
  <c r="K316" i="4"/>
  <c r="K333" i="4"/>
  <c r="K334" i="4"/>
  <c r="K337" i="4"/>
  <c r="K338" i="4"/>
  <c r="K346" i="4"/>
  <c r="K364" i="4"/>
  <c r="K366" i="4"/>
  <c r="I3" i="4"/>
  <c r="J3" i="4" s="1"/>
  <c r="H3" i="6"/>
  <c r="J2" i="6"/>
  <c r="I2" i="6"/>
  <c r="I3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2" i="5"/>
  <c r="J4" i="4"/>
  <c r="K4" i="4" s="1"/>
  <c r="J5" i="4"/>
  <c r="J10" i="4"/>
  <c r="K10" i="4" s="1"/>
  <c r="J11" i="4"/>
  <c r="J20" i="4"/>
  <c r="J21" i="4"/>
  <c r="J22" i="4"/>
  <c r="K22" i="4" s="1"/>
  <c r="J23" i="4"/>
  <c r="K23" i="4" s="1"/>
  <c r="J26" i="4"/>
  <c r="J27" i="4"/>
  <c r="J28" i="4"/>
  <c r="K28" i="4" s="1"/>
  <c r="J29" i="4"/>
  <c r="K29" i="4" s="1"/>
  <c r="J36" i="4"/>
  <c r="J37" i="4"/>
  <c r="K37" i="4" s="1"/>
  <c r="J38" i="4"/>
  <c r="K38" i="4" s="1"/>
  <c r="J39" i="4"/>
  <c r="K39" i="4" s="1"/>
  <c r="J42" i="4"/>
  <c r="K42" i="4" s="1"/>
  <c r="J43" i="4"/>
  <c r="K43" i="4" s="1"/>
  <c r="J46" i="4"/>
  <c r="J47" i="4"/>
  <c r="K47" i="4" s="1"/>
  <c r="J52" i="4"/>
  <c r="J53" i="4"/>
  <c r="J54" i="4"/>
  <c r="K54" i="4" s="1"/>
  <c r="J55" i="4"/>
  <c r="K55" i="4" s="1"/>
  <c r="J58" i="4"/>
  <c r="K58" i="4" s="1"/>
  <c r="J59" i="4"/>
  <c r="K59" i="4" s="1"/>
  <c r="J60" i="4"/>
  <c r="K60" i="4" s="1"/>
  <c r="J68" i="4"/>
  <c r="J69" i="4"/>
  <c r="J70" i="4"/>
  <c r="J71" i="4"/>
  <c r="K71" i="4" s="1"/>
  <c r="J74" i="4"/>
  <c r="K74" i="4" s="1"/>
  <c r="J75" i="4"/>
  <c r="K75" i="4" s="1"/>
  <c r="J76" i="4"/>
  <c r="K76" i="4" s="1"/>
  <c r="J77" i="4"/>
  <c r="K77" i="4" s="1"/>
  <c r="J78" i="4"/>
  <c r="J79" i="4"/>
  <c r="J84" i="4"/>
  <c r="J85" i="4"/>
  <c r="J86" i="4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100" i="4"/>
  <c r="K100" i="4" s="1"/>
  <c r="J101" i="4"/>
  <c r="K101" i="4" s="1"/>
  <c r="J102" i="4"/>
  <c r="J106" i="4"/>
  <c r="J107" i="4"/>
  <c r="K107" i="4" s="1"/>
  <c r="J108" i="4"/>
  <c r="K108" i="4" s="1"/>
  <c r="J110" i="4"/>
  <c r="J116" i="4"/>
  <c r="J117" i="4"/>
  <c r="J118" i="4"/>
  <c r="J119" i="4"/>
  <c r="K119" i="4" s="1"/>
  <c r="J122" i="4"/>
  <c r="J126" i="4"/>
  <c r="K126" i="4" s="1"/>
  <c r="J132" i="4"/>
  <c r="J133" i="4"/>
  <c r="J138" i="4"/>
  <c r="K138" i="4" s="1"/>
  <c r="J139" i="4"/>
  <c r="K139" i="4" s="1"/>
  <c r="J143" i="4"/>
  <c r="K143" i="4" s="1"/>
  <c r="J144" i="4"/>
  <c r="K144" i="4" s="1"/>
  <c r="J145" i="4"/>
  <c r="J146" i="4"/>
  <c r="K146" i="4" s="1"/>
  <c r="J147" i="4"/>
  <c r="J148" i="4"/>
  <c r="J149" i="4"/>
  <c r="J150" i="4"/>
  <c r="J151" i="4"/>
  <c r="J154" i="4"/>
  <c r="J155" i="4"/>
  <c r="J156" i="4"/>
  <c r="K156" i="4" s="1"/>
  <c r="J157" i="4"/>
  <c r="K157" i="4" s="1"/>
  <c r="J164" i="4"/>
  <c r="K164" i="4" s="1"/>
  <c r="J165" i="4"/>
  <c r="K165" i="4" s="1"/>
  <c r="J166" i="4"/>
  <c r="K166" i="4" s="1"/>
  <c r="J167" i="4"/>
  <c r="K167" i="4" s="1"/>
  <c r="K168" i="4" s="1"/>
  <c r="J170" i="4"/>
  <c r="K170" i="4" s="1"/>
  <c r="J171" i="4"/>
  <c r="J174" i="4"/>
  <c r="J180" i="4"/>
  <c r="J181" i="4"/>
  <c r="J182" i="4"/>
  <c r="J183" i="4"/>
  <c r="J186" i="4"/>
  <c r="J187" i="4"/>
  <c r="K187" i="4" s="1"/>
  <c r="J188" i="4"/>
  <c r="K188" i="4" s="1"/>
  <c r="J189" i="4"/>
  <c r="K189" i="4" s="1"/>
  <c r="J192" i="4"/>
  <c r="K192" i="4" s="1"/>
  <c r="J193" i="4"/>
  <c r="K193" i="4" s="1"/>
  <c r="J196" i="4"/>
  <c r="K196" i="4" s="1"/>
  <c r="J197" i="4"/>
  <c r="J198" i="4"/>
  <c r="J199" i="4"/>
  <c r="J202" i="4"/>
  <c r="K202" i="4" s="1"/>
  <c r="J203" i="4"/>
  <c r="J204" i="4"/>
  <c r="J206" i="4"/>
  <c r="J212" i="4"/>
  <c r="J213" i="4"/>
  <c r="K213" i="4" s="1"/>
  <c r="J214" i="4"/>
  <c r="J215" i="4"/>
  <c r="J218" i="4"/>
  <c r="K218" i="4" s="1"/>
  <c r="J219" i="4"/>
  <c r="K219" i="4" s="1"/>
  <c r="J220" i="4"/>
  <c r="J222" i="4"/>
  <c r="J228" i="4"/>
  <c r="K228" i="4" s="1"/>
  <c r="J229" i="4"/>
  <c r="K229" i="4" s="1"/>
  <c r="J230" i="4"/>
  <c r="J234" i="4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4" i="4"/>
  <c r="J245" i="4"/>
  <c r="J246" i="4"/>
  <c r="K246" i="4" s="1"/>
  <c r="J247" i="4"/>
  <c r="J250" i="4"/>
  <c r="J253" i="4"/>
  <c r="K253" i="4" s="1"/>
  <c r="J254" i="4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J266" i="4"/>
  <c r="J267" i="4"/>
  <c r="K267" i="4" s="1"/>
  <c r="K268" i="4" s="1"/>
  <c r="K269" i="4" s="1"/>
  <c r="J276" i="4"/>
  <c r="J277" i="4"/>
  <c r="K277" i="4" s="1"/>
  <c r="J278" i="4"/>
  <c r="J279" i="4"/>
  <c r="J282" i="4"/>
  <c r="K282" i="4" s="1"/>
  <c r="J283" i="4"/>
  <c r="J284" i="4"/>
  <c r="K284" i="4" s="1"/>
  <c r="J285" i="4"/>
  <c r="K285" i="4" s="1"/>
  <c r="J292" i="4"/>
  <c r="K292" i="4" s="1"/>
  <c r="J293" i="4"/>
  <c r="J294" i="4"/>
  <c r="J295" i="4"/>
  <c r="K295" i="4" s="1"/>
  <c r="J297" i="4"/>
  <c r="J298" i="4"/>
  <c r="K298" i="4" s="1"/>
  <c r="J301" i="4"/>
  <c r="J302" i="4"/>
  <c r="K302" i="4" s="1"/>
  <c r="J308" i="4"/>
  <c r="K308" i="4" s="1"/>
  <c r="J309" i="4"/>
  <c r="J310" i="4"/>
  <c r="J313" i="4"/>
  <c r="J314" i="4"/>
  <c r="K314" i="4" s="1"/>
  <c r="J315" i="4"/>
  <c r="K315" i="4" s="1"/>
  <c r="J318" i="4"/>
  <c r="K318" i="4" s="1"/>
  <c r="J324" i="4"/>
  <c r="K324" i="4" s="1"/>
  <c r="J325" i="4"/>
  <c r="K325" i="4" s="1"/>
  <c r="J326" i="4"/>
  <c r="K326" i="4" s="1"/>
  <c r="J327" i="4"/>
  <c r="K327" i="4" s="1"/>
  <c r="J329" i="4"/>
  <c r="K329" i="4" s="1"/>
  <c r="J330" i="4"/>
  <c r="K330" i="4" s="1"/>
  <c r="J331" i="4"/>
  <c r="K331" i="4" s="1"/>
  <c r="J332" i="4"/>
  <c r="K332" i="4" s="1"/>
  <c r="J335" i="4"/>
  <c r="K335" i="4" s="1"/>
  <c r="J340" i="4"/>
  <c r="J341" i="4"/>
  <c r="K341" i="4" s="1"/>
  <c r="J342" i="4"/>
  <c r="J345" i="4"/>
  <c r="J346" i="4"/>
  <c r="J347" i="4"/>
  <c r="K347" i="4" s="1"/>
  <c r="J348" i="4"/>
  <c r="K348" i="4" s="1"/>
  <c r="J349" i="4"/>
  <c r="K349" i="4" s="1"/>
  <c r="J352" i="4"/>
  <c r="J353" i="4"/>
  <c r="J356" i="4"/>
  <c r="J357" i="4"/>
  <c r="K357" i="4" s="1"/>
  <c r="J358" i="4"/>
  <c r="J359" i="4"/>
  <c r="K359" i="4" s="1"/>
  <c r="J361" i="4"/>
  <c r="J362" i="4"/>
  <c r="J363" i="4"/>
  <c r="K363" i="4" s="1"/>
  <c r="J364" i="4"/>
  <c r="J366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H2" i="4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2" i="3"/>
  <c r="Y3" i="4" l="1"/>
  <c r="Y4" i="4" s="1"/>
  <c r="Y5" i="4" s="1"/>
  <c r="Y6" i="4" s="1"/>
  <c r="Y7" i="4" s="1"/>
  <c r="Y8" i="4" s="1"/>
  <c r="K129" i="4"/>
  <c r="K65" i="4"/>
  <c r="K17" i="4"/>
  <c r="K18" i="4" s="1"/>
  <c r="K350" i="4"/>
  <c r="K30" i="4"/>
  <c r="K223" i="4"/>
  <c r="K147" i="4"/>
  <c r="K148" i="4" s="1"/>
  <c r="K149" i="4" s="1"/>
  <c r="K150" i="4" s="1"/>
  <c r="K151" i="4" s="1"/>
  <c r="K152" i="4" s="1"/>
  <c r="K21" i="4"/>
  <c r="K296" i="4"/>
  <c r="K353" i="4"/>
  <c r="K24" i="4"/>
  <c r="K352" i="4"/>
  <c r="K358" i="4"/>
  <c r="K78" i="4"/>
  <c r="K79" i="4" s="1"/>
  <c r="K309" i="4"/>
  <c r="K310" i="4" s="1"/>
  <c r="K311" i="4" s="1"/>
  <c r="K215" i="4"/>
  <c r="K145" i="4"/>
  <c r="K254" i="4"/>
  <c r="K20" i="4"/>
  <c r="K286" i="4"/>
  <c r="K132" i="4"/>
  <c r="K133" i="4" s="1"/>
  <c r="K123" i="4"/>
  <c r="K98" i="4"/>
  <c r="K99" i="4" s="1"/>
  <c r="K293" i="4"/>
  <c r="K294" i="4" s="1"/>
  <c r="K180" i="4"/>
  <c r="K181" i="4" s="1"/>
  <c r="K117" i="4"/>
  <c r="K118" i="4" s="1"/>
  <c r="K52" i="4"/>
  <c r="K53" i="4" s="1"/>
  <c r="K194" i="4"/>
  <c r="K279" i="4"/>
  <c r="K280" i="4" s="1"/>
  <c r="K321" i="4"/>
  <c r="K322" i="4" s="1"/>
  <c r="K208" i="4"/>
  <c r="K209" i="4" s="1"/>
  <c r="K210" i="4" s="1"/>
  <c r="K276" i="4"/>
  <c r="K342" i="4"/>
  <c r="K203" i="4"/>
  <c r="K36" i="4"/>
  <c r="K222" i="4"/>
  <c r="K360" i="4"/>
  <c r="K344" i="4"/>
  <c r="K345" i="4" s="1"/>
  <c r="K136" i="4"/>
  <c r="K137" i="4" s="1"/>
  <c r="K120" i="4"/>
  <c r="K72" i="4"/>
  <c r="K73" i="4" s="1"/>
  <c r="K56" i="4"/>
  <c r="K340" i="4"/>
  <c r="K361" i="4"/>
  <c r="K362" i="4" s="1"/>
  <c r="K261" i="4"/>
  <c r="K220" i="4"/>
  <c r="K171" i="4"/>
  <c r="K197" i="4"/>
  <c r="K230" i="4"/>
  <c r="K231" i="4" s="1"/>
  <c r="K25" i="4"/>
  <c r="K155" i="4"/>
  <c r="K26" i="4"/>
  <c r="J3" i="6"/>
  <c r="H4" i="6"/>
  <c r="M3" i="4" l="1"/>
  <c r="H5" i="6"/>
  <c r="I5" i="6" s="1"/>
  <c r="J4" i="6"/>
  <c r="I4" i="6"/>
  <c r="H6" i="6" l="1"/>
  <c r="J5" i="6"/>
  <c r="J6" i="6" l="1"/>
  <c r="H7" i="6"/>
  <c r="I6" i="6"/>
  <c r="J7" i="6" l="1"/>
  <c r="H8" i="6"/>
  <c r="I7" i="6"/>
  <c r="J8" i="6" l="1"/>
  <c r="H9" i="6"/>
  <c r="I8" i="6"/>
  <c r="J9" i="6" l="1"/>
  <c r="I9" i="6"/>
  <c r="H10" i="6"/>
  <c r="J10" i="6" l="1"/>
  <c r="H11" i="6"/>
  <c r="I10" i="6"/>
  <c r="J11" i="6" l="1"/>
  <c r="H12" i="6"/>
  <c r="I11" i="6"/>
  <c r="J12" i="6" l="1"/>
  <c r="H13" i="6"/>
  <c r="I12" i="6"/>
  <c r="J13" i="6" l="1"/>
  <c r="H14" i="6"/>
  <c r="I13" i="6"/>
  <c r="J14" i="6" l="1"/>
  <c r="H15" i="6"/>
  <c r="I14" i="6"/>
  <c r="J15" i="6" l="1"/>
  <c r="H16" i="6"/>
  <c r="I15" i="6"/>
  <c r="J16" i="6" l="1"/>
  <c r="H17" i="6"/>
  <c r="I16" i="6"/>
  <c r="J17" i="6" l="1"/>
  <c r="H18" i="6"/>
  <c r="I17" i="6"/>
  <c r="J18" i="6" l="1"/>
  <c r="H19" i="6"/>
  <c r="I18" i="6"/>
  <c r="J19" i="6" l="1"/>
  <c r="H20" i="6"/>
  <c r="I19" i="6"/>
  <c r="J20" i="6" l="1"/>
  <c r="H21" i="6"/>
  <c r="I20" i="6"/>
  <c r="J21" i="6" l="1"/>
  <c r="H22" i="6"/>
  <c r="I21" i="6"/>
  <c r="J22" i="6" l="1"/>
  <c r="H23" i="6"/>
  <c r="I22" i="6"/>
  <c r="J23" i="6" l="1"/>
  <c r="H24" i="6"/>
  <c r="I23" i="6"/>
  <c r="J24" i="6" l="1"/>
  <c r="H25" i="6"/>
  <c r="I24" i="6"/>
  <c r="J25" i="6" l="1"/>
  <c r="H26" i="6"/>
  <c r="I25" i="6"/>
  <c r="J26" i="6" l="1"/>
  <c r="H27" i="6"/>
  <c r="I26" i="6"/>
  <c r="J27" i="6" l="1"/>
  <c r="H28" i="6"/>
  <c r="I27" i="6"/>
  <c r="J28" i="6" l="1"/>
  <c r="H29" i="6"/>
  <c r="I28" i="6"/>
  <c r="J29" i="6" l="1"/>
  <c r="I29" i="6"/>
  <c r="H30" i="6"/>
  <c r="J30" i="6" l="1"/>
  <c r="H31" i="6"/>
  <c r="I30" i="6"/>
  <c r="J31" i="6" l="1"/>
  <c r="H32" i="6"/>
  <c r="I31" i="6"/>
  <c r="J32" i="6" l="1"/>
  <c r="H33" i="6"/>
  <c r="I32" i="6"/>
  <c r="J33" i="6" l="1"/>
  <c r="H34" i="6"/>
  <c r="I33" i="6"/>
  <c r="J34" i="6" l="1"/>
  <c r="H35" i="6"/>
  <c r="I34" i="6"/>
  <c r="J35" i="6" l="1"/>
  <c r="H36" i="6"/>
  <c r="I35" i="6"/>
  <c r="J36" i="6" l="1"/>
  <c r="H37" i="6"/>
  <c r="I36" i="6"/>
  <c r="J37" i="6" l="1"/>
  <c r="H38" i="6"/>
  <c r="I37" i="6"/>
  <c r="J38" i="6" l="1"/>
  <c r="H39" i="6"/>
  <c r="I38" i="6"/>
  <c r="J39" i="6" l="1"/>
  <c r="H40" i="6"/>
  <c r="I39" i="6"/>
  <c r="J40" i="6" l="1"/>
  <c r="H41" i="6"/>
  <c r="I40" i="6"/>
  <c r="J41" i="6" l="1"/>
  <c r="H42" i="6"/>
  <c r="I41" i="6"/>
  <c r="J42" i="6" l="1"/>
  <c r="H43" i="6"/>
  <c r="I42" i="6"/>
  <c r="J43" i="6" l="1"/>
  <c r="H44" i="6"/>
  <c r="I43" i="6"/>
  <c r="J44" i="6" l="1"/>
  <c r="H45" i="6"/>
  <c r="I44" i="6"/>
  <c r="J45" i="6" l="1"/>
  <c r="I45" i="6"/>
  <c r="H46" i="6"/>
  <c r="J46" i="6" l="1"/>
  <c r="I46" i="6"/>
  <c r="H47" i="6"/>
  <c r="J47" i="6" l="1"/>
  <c r="H48" i="6"/>
  <c r="I47" i="6"/>
  <c r="J48" i="6" l="1"/>
  <c r="H49" i="6"/>
  <c r="I48" i="6"/>
  <c r="J49" i="6" l="1"/>
  <c r="H50" i="6"/>
  <c r="I49" i="6"/>
  <c r="J50" i="6" l="1"/>
  <c r="H51" i="6"/>
  <c r="I50" i="6"/>
  <c r="J51" i="6" l="1"/>
  <c r="H52" i="6"/>
  <c r="I51" i="6"/>
  <c r="J52" i="6" l="1"/>
  <c r="I52" i="6"/>
  <c r="H53" i="6"/>
  <c r="J53" i="6" l="1"/>
  <c r="H54" i="6"/>
  <c r="I53" i="6"/>
  <c r="J54" i="6" l="1"/>
  <c r="I54" i="6"/>
  <c r="H55" i="6"/>
  <c r="J55" i="6" l="1"/>
  <c r="H56" i="6"/>
  <c r="I55" i="6"/>
  <c r="J56" i="6" l="1"/>
  <c r="H57" i="6"/>
  <c r="I56" i="6"/>
  <c r="J57" i="6" l="1"/>
  <c r="H58" i="6"/>
  <c r="I57" i="6"/>
  <c r="J58" i="6" l="1"/>
  <c r="I58" i="6"/>
  <c r="H59" i="6"/>
  <c r="J59" i="6" l="1"/>
  <c r="H60" i="6"/>
  <c r="I59" i="6"/>
  <c r="J60" i="6" l="1"/>
  <c r="H61" i="6"/>
  <c r="I60" i="6"/>
  <c r="J61" i="6" l="1"/>
  <c r="H62" i="6"/>
  <c r="I61" i="6"/>
  <c r="J62" i="6" l="1"/>
  <c r="H63" i="6"/>
  <c r="I62" i="6"/>
  <c r="J63" i="6" l="1"/>
  <c r="H64" i="6"/>
  <c r="I63" i="6"/>
  <c r="J64" i="6" l="1"/>
  <c r="H65" i="6"/>
  <c r="I64" i="6"/>
  <c r="J65" i="6" l="1"/>
  <c r="H66" i="6"/>
  <c r="I65" i="6"/>
  <c r="J66" i="6" l="1"/>
  <c r="H67" i="6"/>
  <c r="I66" i="6"/>
  <c r="J67" i="6" l="1"/>
  <c r="H68" i="6"/>
  <c r="I67" i="6"/>
  <c r="J68" i="6" l="1"/>
  <c r="H69" i="6"/>
  <c r="I68" i="6"/>
  <c r="J69" i="6" l="1"/>
  <c r="H70" i="6"/>
  <c r="I69" i="6"/>
  <c r="J70" i="6" l="1"/>
  <c r="H71" i="6"/>
  <c r="I70" i="6"/>
  <c r="J71" i="6" l="1"/>
  <c r="H72" i="6"/>
  <c r="I71" i="6"/>
  <c r="J72" i="6" l="1"/>
  <c r="H73" i="6"/>
  <c r="I72" i="6"/>
  <c r="J73" i="6" l="1"/>
  <c r="H74" i="6"/>
  <c r="I73" i="6"/>
  <c r="J74" i="6" l="1"/>
  <c r="H75" i="6"/>
  <c r="I74" i="6"/>
  <c r="J75" i="6" l="1"/>
  <c r="H76" i="6"/>
  <c r="I75" i="6"/>
  <c r="J76" i="6" l="1"/>
  <c r="H77" i="6"/>
  <c r="I76" i="6"/>
  <c r="J77" i="6" l="1"/>
  <c r="H78" i="6"/>
  <c r="I77" i="6"/>
  <c r="J78" i="6" l="1"/>
  <c r="H79" i="6"/>
  <c r="I78" i="6"/>
  <c r="J79" i="6" l="1"/>
  <c r="H80" i="6"/>
  <c r="I79" i="6"/>
  <c r="J80" i="6" l="1"/>
  <c r="H81" i="6"/>
  <c r="I80" i="6"/>
  <c r="J81" i="6" l="1"/>
  <c r="H82" i="6"/>
  <c r="I81" i="6"/>
  <c r="J82" i="6" l="1"/>
  <c r="H83" i="6"/>
  <c r="I82" i="6"/>
  <c r="J83" i="6" l="1"/>
  <c r="H84" i="6"/>
  <c r="I83" i="6"/>
  <c r="J84" i="6" l="1"/>
  <c r="H85" i="6"/>
  <c r="I84" i="6"/>
  <c r="J85" i="6" l="1"/>
  <c r="H86" i="6"/>
  <c r="I85" i="6"/>
  <c r="J86" i="6" l="1"/>
  <c r="H87" i="6"/>
  <c r="I86" i="6"/>
  <c r="J87" i="6" l="1"/>
  <c r="H88" i="6"/>
  <c r="I87" i="6"/>
  <c r="J88" i="6" l="1"/>
  <c r="H89" i="6"/>
  <c r="I88" i="6"/>
  <c r="J89" i="6" l="1"/>
  <c r="H90" i="6"/>
  <c r="I89" i="6"/>
  <c r="J90" i="6" l="1"/>
  <c r="H91" i="6"/>
  <c r="I90" i="6"/>
  <c r="J91" i="6" l="1"/>
  <c r="H92" i="6"/>
  <c r="I91" i="6"/>
  <c r="J92" i="6" l="1"/>
  <c r="H93" i="6"/>
  <c r="I92" i="6"/>
  <c r="J93" i="6" l="1"/>
  <c r="H94" i="6"/>
  <c r="I93" i="6"/>
  <c r="J94" i="6" l="1"/>
  <c r="H95" i="6"/>
  <c r="I94" i="6"/>
  <c r="J95" i="6" l="1"/>
  <c r="H96" i="6"/>
  <c r="I95" i="6"/>
  <c r="J96" i="6" l="1"/>
  <c r="H97" i="6"/>
  <c r="I96" i="6"/>
  <c r="J97" i="6" l="1"/>
  <c r="H98" i="6"/>
  <c r="I97" i="6"/>
  <c r="J98" i="6" l="1"/>
  <c r="H99" i="6"/>
  <c r="I98" i="6"/>
  <c r="J99" i="6" l="1"/>
  <c r="H100" i="6"/>
  <c r="I99" i="6"/>
  <c r="J100" i="6" l="1"/>
  <c r="H101" i="6"/>
  <c r="I100" i="6"/>
  <c r="J101" i="6" l="1"/>
  <c r="H102" i="6"/>
  <c r="I101" i="6"/>
  <c r="J102" i="6" l="1"/>
  <c r="H103" i="6"/>
  <c r="I102" i="6"/>
  <c r="J103" i="6" l="1"/>
  <c r="H104" i="6"/>
  <c r="I103" i="6"/>
  <c r="J104" i="6" l="1"/>
  <c r="H105" i="6"/>
  <c r="I104" i="6"/>
  <c r="J105" i="6" l="1"/>
  <c r="H106" i="6"/>
  <c r="I105" i="6"/>
  <c r="J106" i="6" l="1"/>
  <c r="H107" i="6"/>
  <c r="I106" i="6"/>
  <c r="J107" i="6" l="1"/>
  <c r="H108" i="6"/>
  <c r="I107" i="6"/>
  <c r="J108" i="6" l="1"/>
  <c r="H109" i="6"/>
  <c r="I108" i="6"/>
  <c r="J109" i="6" l="1"/>
  <c r="H110" i="6"/>
  <c r="I109" i="6"/>
  <c r="J110" i="6" l="1"/>
  <c r="H111" i="6"/>
  <c r="I110" i="6"/>
  <c r="J111" i="6" l="1"/>
  <c r="H112" i="6"/>
  <c r="I111" i="6"/>
  <c r="J112" i="6" l="1"/>
  <c r="H113" i="6"/>
  <c r="I112" i="6"/>
  <c r="J113" i="6" l="1"/>
  <c r="H114" i="6"/>
  <c r="I113" i="6"/>
  <c r="J114" i="6" l="1"/>
  <c r="H115" i="6"/>
  <c r="I114" i="6"/>
  <c r="J115" i="6" l="1"/>
  <c r="H116" i="6"/>
  <c r="I115" i="6"/>
  <c r="J116" i="6" l="1"/>
  <c r="H117" i="6"/>
  <c r="I116" i="6"/>
  <c r="J117" i="6" l="1"/>
  <c r="H118" i="6"/>
  <c r="I117" i="6"/>
  <c r="J118" i="6" l="1"/>
  <c r="H119" i="6"/>
  <c r="I118" i="6"/>
  <c r="J119" i="6" l="1"/>
  <c r="H120" i="6"/>
  <c r="I119" i="6"/>
  <c r="J120" i="6" l="1"/>
  <c r="H121" i="6"/>
  <c r="I120" i="6"/>
  <c r="J121" i="6" l="1"/>
  <c r="H122" i="6"/>
  <c r="I121" i="6"/>
  <c r="J122" i="6" l="1"/>
  <c r="H123" i="6"/>
  <c r="I122" i="6"/>
  <c r="J123" i="6" l="1"/>
  <c r="H124" i="6"/>
  <c r="I123" i="6"/>
  <c r="J124" i="6" l="1"/>
  <c r="H125" i="6"/>
  <c r="I124" i="6"/>
  <c r="J125" i="6" l="1"/>
  <c r="H126" i="6"/>
  <c r="I125" i="6"/>
  <c r="J126" i="6" l="1"/>
  <c r="H127" i="6"/>
  <c r="I126" i="6"/>
  <c r="J127" i="6" l="1"/>
  <c r="H128" i="6"/>
  <c r="I127" i="6"/>
  <c r="J128" i="6" l="1"/>
  <c r="H129" i="6"/>
  <c r="I128" i="6"/>
  <c r="J129" i="6" l="1"/>
  <c r="H130" i="6"/>
  <c r="I129" i="6"/>
  <c r="J130" i="6" l="1"/>
  <c r="H131" i="6"/>
  <c r="I130" i="6"/>
  <c r="J131" i="6" l="1"/>
  <c r="H132" i="6"/>
  <c r="I131" i="6"/>
  <c r="J132" i="6" l="1"/>
  <c r="H133" i="6"/>
  <c r="I132" i="6"/>
  <c r="J133" i="6" l="1"/>
  <c r="H134" i="6"/>
  <c r="I133" i="6"/>
  <c r="J134" i="6" l="1"/>
  <c r="H135" i="6"/>
  <c r="I134" i="6"/>
  <c r="J135" i="6" l="1"/>
  <c r="H136" i="6"/>
  <c r="I135" i="6"/>
  <c r="J136" i="6" l="1"/>
  <c r="H137" i="6"/>
  <c r="I136" i="6"/>
  <c r="J137" i="6" l="1"/>
  <c r="H138" i="6"/>
  <c r="I137" i="6"/>
  <c r="J138" i="6" l="1"/>
  <c r="H139" i="6"/>
  <c r="I138" i="6"/>
  <c r="J139" i="6" l="1"/>
  <c r="H140" i="6"/>
  <c r="I139" i="6"/>
  <c r="J140" i="6" l="1"/>
  <c r="H141" i="6"/>
  <c r="I140" i="6"/>
  <c r="J141" i="6" l="1"/>
  <c r="H142" i="6"/>
  <c r="I141" i="6"/>
  <c r="J142" i="6" l="1"/>
  <c r="H143" i="6"/>
  <c r="I142" i="6"/>
  <c r="J143" i="6" l="1"/>
  <c r="H144" i="6"/>
  <c r="I143" i="6"/>
  <c r="J144" i="6" l="1"/>
  <c r="H145" i="6"/>
  <c r="I144" i="6"/>
  <c r="J145" i="6" l="1"/>
  <c r="H146" i="6"/>
  <c r="I145" i="6"/>
  <c r="J146" i="6" l="1"/>
  <c r="H147" i="6"/>
  <c r="I146" i="6"/>
  <c r="J147" i="6" l="1"/>
  <c r="H148" i="6"/>
  <c r="I147" i="6"/>
  <c r="J148" i="6" l="1"/>
  <c r="H149" i="6"/>
  <c r="I148" i="6"/>
  <c r="J149" i="6" l="1"/>
  <c r="H150" i="6"/>
  <c r="I149" i="6"/>
  <c r="J150" i="6" l="1"/>
  <c r="H151" i="6"/>
  <c r="I150" i="6"/>
  <c r="J151" i="6" l="1"/>
  <c r="H152" i="6"/>
  <c r="I151" i="6"/>
  <c r="J152" i="6" l="1"/>
  <c r="H153" i="6"/>
  <c r="I152" i="6"/>
  <c r="J153" i="6" l="1"/>
  <c r="H154" i="6"/>
  <c r="I153" i="6"/>
  <c r="J154" i="6" l="1"/>
  <c r="H155" i="6"/>
  <c r="I154" i="6"/>
  <c r="J155" i="6" l="1"/>
  <c r="H156" i="6"/>
  <c r="I155" i="6"/>
  <c r="J156" i="6" l="1"/>
  <c r="H157" i="6"/>
  <c r="I156" i="6"/>
  <c r="J157" i="6" l="1"/>
  <c r="H158" i="6"/>
  <c r="I157" i="6"/>
  <c r="J158" i="6" l="1"/>
  <c r="H159" i="6"/>
  <c r="I158" i="6"/>
  <c r="J159" i="6" l="1"/>
  <c r="H160" i="6"/>
  <c r="I159" i="6"/>
  <c r="J160" i="6" l="1"/>
  <c r="H161" i="6"/>
  <c r="I160" i="6"/>
  <c r="J161" i="6" l="1"/>
  <c r="H162" i="6"/>
  <c r="I161" i="6"/>
  <c r="J162" i="6" l="1"/>
  <c r="H163" i="6"/>
  <c r="I162" i="6"/>
  <c r="J163" i="6" l="1"/>
  <c r="H164" i="6"/>
  <c r="I163" i="6"/>
  <c r="J164" i="6" l="1"/>
  <c r="H165" i="6"/>
  <c r="I164" i="6"/>
  <c r="J165" i="6" l="1"/>
  <c r="H166" i="6"/>
  <c r="I165" i="6"/>
  <c r="J166" i="6" l="1"/>
  <c r="H167" i="6"/>
  <c r="I166" i="6"/>
  <c r="J167" i="6" l="1"/>
  <c r="H168" i="6"/>
  <c r="I167" i="6"/>
  <c r="J168" i="6" l="1"/>
  <c r="H169" i="6"/>
  <c r="I168" i="6"/>
  <c r="J169" i="6" l="1"/>
  <c r="H170" i="6"/>
  <c r="I169" i="6"/>
  <c r="J170" i="6" l="1"/>
  <c r="H171" i="6"/>
  <c r="I170" i="6"/>
  <c r="J171" i="6" l="1"/>
  <c r="H172" i="6"/>
  <c r="I171" i="6"/>
  <c r="J172" i="6" l="1"/>
  <c r="H173" i="6"/>
  <c r="I172" i="6"/>
  <c r="J173" i="6" l="1"/>
  <c r="H174" i="6"/>
  <c r="I173" i="6"/>
  <c r="J174" i="6" l="1"/>
  <c r="H175" i="6"/>
  <c r="I174" i="6"/>
  <c r="J175" i="6" l="1"/>
  <c r="H176" i="6"/>
  <c r="I175" i="6"/>
  <c r="J176" i="6" l="1"/>
  <c r="I176" i="6"/>
  <c r="H177" i="6"/>
  <c r="J177" i="6" l="1"/>
  <c r="H178" i="6"/>
  <c r="I177" i="6"/>
  <c r="J178" i="6" l="1"/>
  <c r="I178" i="6"/>
  <c r="H179" i="6"/>
  <c r="J179" i="6" l="1"/>
  <c r="H180" i="6"/>
  <c r="I179" i="6"/>
  <c r="J180" i="6" l="1"/>
  <c r="H181" i="6"/>
  <c r="I180" i="6"/>
  <c r="J181" i="6" l="1"/>
  <c r="H182" i="6"/>
  <c r="I181" i="6"/>
  <c r="J182" i="6" l="1"/>
  <c r="H183" i="6"/>
  <c r="I182" i="6"/>
  <c r="J183" i="6" l="1"/>
  <c r="H184" i="6"/>
  <c r="I183" i="6"/>
  <c r="J184" i="6" l="1"/>
  <c r="H185" i="6"/>
  <c r="I184" i="6"/>
  <c r="J185" i="6" l="1"/>
  <c r="H186" i="6"/>
  <c r="I185" i="6"/>
  <c r="J186" i="6" l="1"/>
  <c r="H187" i="6"/>
  <c r="I186" i="6"/>
  <c r="J187" i="6" l="1"/>
  <c r="H188" i="6"/>
  <c r="I187" i="6"/>
  <c r="J188" i="6" l="1"/>
  <c r="H189" i="6"/>
  <c r="I188" i="6"/>
  <c r="J189" i="6" l="1"/>
  <c r="H190" i="6"/>
  <c r="I189" i="6"/>
  <c r="J190" i="6" l="1"/>
  <c r="H191" i="6"/>
  <c r="I190" i="6"/>
  <c r="J191" i="6" l="1"/>
  <c r="H192" i="6"/>
  <c r="I191" i="6"/>
  <c r="J192" i="6" l="1"/>
  <c r="H193" i="6"/>
  <c r="I192" i="6"/>
  <c r="J193" i="6" l="1"/>
  <c r="H194" i="6"/>
  <c r="I193" i="6"/>
  <c r="J194" i="6" l="1"/>
  <c r="H195" i="6"/>
  <c r="I194" i="6"/>
  <c r="J195" i="6" l="1"/>
  <c r="H196" i="6"/>
  <c r="I195" i="6"/>
  <c r="J196" i="6" l="1"/>
  <c r="H197" i="6"/>
  <c r="I196" i="6"/>
  <c r="J197" i="6" l="1"/>
  <c r="H198" i="6"/>
  <c r="I197" i="6"/>
  <c r="J198" i="6" l="1"/>
  <c r="H199" i="6"/>
  <c r="I198" i="6"/>
  <c r="J199" i="6" l="1"/>
  <c r="H200" i="6"/>
  <c r="I199" i="6"/>
  <c r="J200" i="6" l="1"/>
  <c r="H201" i="6"/>
  <c r="I200" i="6"/>
  <c r="J201" i="6" l="1"/>
  <c r="H202" i="6"/>
  <c r="I201" i="6"/>
  <c r="J202" i="6" l="1"/>
  <c r="H203" i="6"/>
  <c r="I202" i="6"/>
  <c r="J203" i="6" l="1"/>
  <c r="H204" i="6"/>
  <c r="I203" i="6"/>
  <c r="J204" i="6" l="1"/>
  <c r="H205" i="6"/>
  <c r="I204" i="6"/>
  <c r="J205" i="6" l="1"/>
  <c r="H206" i="6"/>
  <c r="I205" i="6"/>
  <c r="J206" i="6" l="1"/>
  <c r="H207" i="6"/>
  <c r="I206" i="6"/>
  <c r="J207" i="6" l="1"/>
  <c r="H208" i="6"/>
  <c r="I207" i="6"/>
  <c r="J208" i="6" l="1"/>
  <c r="H209" i="6"/>
  <c r="I208" i="6"/>
  <c r="J209" i="6" l="1"/>
  <c r="H210" i="6"/>
  <c r="I209" i="6"/>
  <c r="J210" i="6" l="1"/>
  <c r="H211" i="6"/>
  <c r="I210" i="6"/>
  <c r="J211" i="6" l="1"/>
  <c r="H212" i="6"/>
  <c r="I211" i="6"/>
  <c r="J212" i="6" l="1"/>
  <c r="H213" i="6"/>
  <c r="I212" i="6"/>
  <c r="J213" i="6" l="1"/>
  <c r="H214" i="6"/>
  <c r="I213" i="6"/>
  <c r="J214" i="6" l="1"/>
  <c r="H215" i="6"/>
  <c r="I214" i="6"/>
  <c r="J215" i="6" l="1"/>
  <c r="H216" i="6"/>
  <c r="I215" i="6"/>
  <c r="J216" i="6" l="1"/>
  <c r="H217" i="6"/>
  <c r="I216" i="6"/>
  <c r="J217" i="6" l="1"/>
  <c r="H218" i="6"/>
  <c r="I217" i="6"/>
  <c r="J218" i="6" l="1"/>
  <c r="H219" i="6"/>
  <c r="I218" i="6"/>
  <c r="J219" i="6" l="1"/>
  <c r="H220" i="6"/>
  <c r="I219" i="6"/>
  <c r="J220" i="6" l="1"/>
  <c r="H221" i="6"/>
  <c r="I220" i="6"/>
  <c r="J221" i="6" l="1"/>
  <c r="H222" i="6"/>
  <c r="I221" i="6"/>
  <c r="J222" i="6" l="1"/>
  <c r="H223" i="6"/>
  <c r="I222" i="6"/>
  <c r="J223" i="6" l="1"/>
  <c r="H224" i="6"/>
  <c r="I223" i="6"/>
  <c r="J224" i="6" l="1"/>
  <c r="H225" i="6"/>
  <c r="I224" i="6"/>
  <c r="J225" i="6" l="1"/>
  <c r="H226" i="6"/>
  <c r="I225" i="6"/>
  <c r="J226" i="6" l="1"/>
  <c r="H227" i="6"/>
  <c r="I226" i="6"/>
  <c r="J227" i="6" l="1"/>
  <c r="H228" i="6"/>
  <c r="I227" i="6"/>
  <c r="J228" i="6" l="1"/>
  <c r="H229" i="6"/>
  <c r="I228" i="6"/>
  <c r="J229" i="6" l="1"/>
  <c r="H230" i="6"/>
  <c r="I229" i="6"/>
  <c r="J230" i="6" l="1"/>
  <c r="H231" i="6"/>
  <c r="I230" i="6"/>
  <c r="J231" i="6" l="1"/>
  <c r="H232" i="6"/>
  <c r="I231" i="6"/>
  <c r="J232" i="6" l="1"/>
  <c r="H233" i="6"/>
  <c r="I232" i="6"/>
  <c r="J233" i="6" l="1"/>
  <c r="H234" i="6"/>
  <c r="I233" i="6"/>
  <c r="J234" i="6" l="1"/>
  <c r="H235" i="6"/>
  <c r="I234" i="6"/>
  <c r="J235" i="6" l="1"/>
  <c r="H236" i="6"/>
  <c r="I235" i="6"/>
  <c r="J236" i="6" l="1"/>
  <c r="H237" i="6"/>
  <c r="I236" i="6"/>
  <c r="J237" i="6" l="1"/>
  <c r="H238" i="6"/>
  <c r="I237" i="6"/>
  <c r="J238" i="6" l="1"/>
  <c r="H239" i="6"/>
  <c r="I238" i="6"/>
  <c r="J239" i="6" l="1"/>
  <c r="H240" i="6"/>
  <c r="I239" i="6"/>
  <c r="J240" i="6" l="1"/>
  <c r="H241" i="6"/>
  <c r="I240" i="6"/>
  <c r="J241" i="6" l="1"/>
  <c r="H242" i="6"/>
  <c r="I241" i="6"/>
  <c r="J242" i="6" l="1"/>
  <c r="H243" i="6"/>
  <c r="I242" i="6"/>
  <c r="J243" i="6" l="1"/>
  <c r="H244" i="6"/>
  <c r="I243" i="6"/>
  <c r="J244" i="6" l="1"/>
  <c r="H245" i="6"/>
  <c r="I244" i="6"/>
  <c r="J245" i="6" l="1"/>
  <c r="H246" i="6"/>
  <c r="I245" i="6"/>
  <c r="J246" i="6" l="1"/>
  <c r="H247" i="6"/>
  <c r="I246" i="6"/>
  <c r="J247" i="6" l="1"/>
  <c r="H248" i="6"/>
  <c r="I247" i="6"/>
  <c r="J248" i="6" l="1"/>
  <c r="H249" i="6"/>
  <c r="I248" i="6"/>
  <c r="J249" i="6" l="1"/>
  <c r="H250" i="6"/>
  <c r="I249" i="6"/>
  <c r="J250" i="6" l="1"/>
  <c r="H251" i="6"/>
  <c r="I250" i="6"/>
  <c r="J251" i="6" l="1"/>
  <c r="H252" i="6"/>
  <c r="I251" i="6"/>
  <c r="J252" i="6" l="1"/>
  <c r="H253" i="6"/>
  <c r="I252" i="6"/>
  <c r="J253" i="6" l="1"/>
  <c r="H254" i="6"/>
  <c r="I253" i="6"/>
  <c r="J254" i="6" l="1"/>
  <c r="H255" i="6"/>
  <c r="I254" i="6"/>
  <c r="J255" i="6" l="1"/>
  <c r="H256" i="6"/>
  <c r="I255" i="6"/>
  <c r="J256" i="6" l="1"/>
  <c r="H257" i="6"/>
  <c r="I256" i="6"/>
  <c r="J257" i="6" l="1"/>
  <c r="H258" i="6"/>
  <c r="I257" i="6"/>
  <c r="J258" i="6" l="1"/>
  <c r="H259" i="6"/>
  <c r="I258" i="6"/>
  <c r="J259" i="6" l="1"/>
  <c r="H260" i="6"/>
  <c r="I259" i="6"/>
  <c r="J260" i="6" l="1"/>
  <c r="H261" i="6"/>
  <c r="I260" i="6"/>
  <c r="J261" i="6" l="1"/>
  <c r="H262" i="6"/>
  <c r="I261" i="6"/>
  <c r="J262" i="6" l="1"/>
  <c r="H263" i="6"/>
  <c r="I262" i="6"/>
  <c r="J263" i="6" l="1"/>
  <c r="H264" i="6"/>
  <c r="I263" i="6"/>
  <c r="J264" i="6" l="1"/>
  <c r="H265" i="6"/>
  <c r="I264" i="6"/>
  <c r="J265" i="6" l="1"/>
  <c r="H266" i="6"/>
  <c r="I265" i="6"/>
  <c r="J266" i="6" l="1"/>
  <c r="H267" i="6"/>
  <c r="I266" i="6"/>
  <c r="J267" i="6" l="1"/>
  <c r="H268" i="6"/>
  <c r="I267" i="6"/>
  <c r="J268" i="6" l="1"/>
  <c r="H269" i="6"/>
  <c r="I268" i="6"/>
  <c r="J269" i="6" l="1"/>
  <c r="H270" i="6"/>
  <c r="I269" i="6"/>
  <c r="J270" i="6" l="1"/>
  <c r="H271" i="6"/>
  <c r="I270" i="6"/>
  <c r="J271" i="6" l="1"/>
  <c r="H272" i="6"/>
  <c r="I271" i="6"/>
  <c r="J272" i="6" l="1"/>
  <c r="H273" i="6"/>
  <c r="I272" i="6"/>
  <c r="J273" i="6" l="1"/>
  <c r="H274" i="6"/>
  <c r="I273" i="6"/>
  <c r="J274" i="6" l="1"/>
  <c r="H275" i="6"/>
  <c r="I274" i="6"/>
  <c r="J275" i="6" l="1"/>
  <c r="H276" i="6"/>
  <c r="I275" i="6"/>
  <c r="J276" i="6" l="1"/>
  <c r="H277" i="6"/>
  <c r="I276" i="6"/>
  <c r="J277" i="6" l="1"/>
  <c r="H278" i="6"/>
  <c r="I277" i="6"/>
  <c r="J278" i="6" l="1"/>
  <c r="H279" i="6"/>
  <c r="I278" i="6"/>
  <c r="J279" i="6" l="1"/>
  <c r="H280" i="6"/>
  <c r="I279" i="6"/>
  <c r="J280" i="6" l="1"/>
  <c r="H281" i="6"/>
  <c r="I280" i="6"/>
  <c r="J281" i="6" l="1"/>
  <c r="H282" i="6"/>
  <c r="I281" i="6"/>
  <c r="J282" i="6" l="1"/>
  <c r="H283" i="6"/>
  <c r="I282" i="6"/>
  <c r="J283" i="6" l="1"/>
  <c r="H284" i="6"/>
  <c r="I283" i="6"/>
  <c r="J284" i="6" l="1"/>
  <c r="H285" i="6"/>
  <c r="I284" i="6"/>
  <c r="J285" i="6" l="1"/>
  <c r="H286" i="6"/>
  <c r="I285" i="6"/>
  <c r="J286" i="6" l="1"/>
  <c r="H287" i="6"/>
  <c r="I286" i="6"/>
  <c r="J287" i="6" l="1"/>
  <c r="H288" i="6"/>
  <c r="I287" i="6"/>
  <c r="J288" i="6" l="1"/>
  <c r="H289" i="6"/>
  <c r="I288" i="6"/>
  <c r="J289" i="6" l="1"/>
  <c r="H290" i="6"/>
  <c r="I289" i="6"/>
  <c r="J290" i="6" l="1"/>
  <c r="H291" i="6"/>
  <c r="I290" i="6"/>
  <c r="J291" i="6" l="1"/>
  <c r="H292" i="6"/>
  <c r="I291" i="6"/>
  <c r="J292" i="6" l="1"/>
  <c r="H293" i="6"/>
  <c r="I292" i="6"/>
  <c r="J293" i="6" l="1"/>
  <c r="H294" i="6"/>
  <c r="I293" i="6"/>
  <c r="J294" i="6" l="1"/>
  <c r="H295" i="6"/>
  <c r="I294" i="6"/>
  <c r="J295" i="6" l="1"/>
  <c r="H296" i="6"/>
  <c r="I295" i="6"/>
  <c r="J296" i="6" l="1"/>
  <c r="H297" i="6"/>
  <c r="I296" i="6"/>
  <c r="J297" i="6" l="1"/>
  <c r="H298" i="6"/>
  <c r="I297" i="6"/>
  <c r="J298" i="6" l="1"/>
  <c r="H299" i="6"/>
  <c r="I298" i="6"/>
  <c r="J299" i="6" l="1"/>
  <c r="H300" i="6"/>
  <c r="I299" i="6"/>
  <c r="J300" i="6" l="1"/>
  <c r="H301" i="6"/>
  <c r="I300" i="6"/>
  <c r="J301" i="6" l="1"/>
  <c r="H302" i="6"/>
  <c r="I301" i="6"/>
  <c r="J302" i="6" l="1"/>
  <c r="H303" i="6"/>
  <c r="I302" i="6"/>
  <c r="J303" i="6" l="1"/>
  <c r="H304" i="6"/>
  <c r="I303" i="6"/>
  <c r="J304" i="6" l="1"/>
  <c r="H305" i="6"/>
  <c r="I304" i="6"/>
  <c r="J305" i="6" l="1"/>
  <c r="H306" i="6"/>
  <c r="I305" i="6"/>
  <c r="J306" i="6" l="1"/>
  <c r="H307" i="6"/>
  <c r="I306" i="6"/>
  <c r="J307" i="6" l="1"/>
  <c r="I307" i="6"/>
  <c r="H308" i="6"/>
  <c r="J308" i="6" l="1"/>
  <c r="H309" i="6"/>
  <c r="I308" i="6"/>
  <c r="J309" i="6" l="1"/>
  <c r="H310" i="6"/>
  <c r="I309" i="6"/>
  <c r="J310" i="6" l="1"/>
  <c r="H311" i="6"/>
  <c r="I310" i="6"/>
  <c r="J311" i="6" l="1"/>
  <c r="H312" i="6"/>
  <c r="I311" i="6"/>
  <c r="J312" i="6" l="1"/>
  <c r="H313" i="6"/>
  <c r="I312" i="6"/>
  <c r="J313" i="6" l="1"/>
  <c r="H314" i="6"/>
  <c r="I313" i="6"/>
  <c r="J314" i="6" l="1"/>
  <c r="H315" i="6"/>
  <c r="I314" i="6"/>
  <c r="J315" i="6" l="1"/>
  <c r="H316" i="6"/>
  <c r="I315" i="6"/>
  <c r="J316" i="6" l="1"/>
  <c r="H317" i="6"/>
  <c r="I316" i="6"/>
  <c r="J317" i="6" l="1"/>
  <c r="H318" i="6"/>
  <c r="I317" i="6"/>
  <c r="J318" i="6" l="1"/>
  <c r="H319" i="6"/>
  <c r="I318" i="6"/>
  <c r="J319" i="6" l="1"/>
  <c r="H320" i="6"/>
  <c r="I319" i="6"/>
  <c r="J320" i="6" l="1"/>
  <c r="H321" i="6"/>
  <c r="I320" i="6"/>
  <c r="J321" i="6" l="1"/>
  <c r="H322" i="6"/>
  <c r="I321" i="6"/>
  <c r="J322" i="6" l="1"/>
  <c r="H323" i="6"/>
  <c r="I322" i="6"/>
  <c r="J323" i="6" l="1"/>
  <c r="H324" i="6"/>
  <c r="I323" i="6"/>
  <c r="J324" i="6" l="1"/>
  <c r="H325" i="6"/>
  <c r="I324" i="6"/>
  <c r="J325" i="6" l="1"/>
  <c r="H326" i="6"/>
  <c r="I325" i="6"/>
  <c r="J326" i="6" l="1"/>
  <c r="H327" i="6"/>
  <c r="I326" i="6"/>
  <c r="J327" i="6" l="1"/>
  <c r="H328" i="6"/>
  <c r="I327" i="6"/>
  <c r="J328" i="6" l="1"/>
  <c r="H329" i="6"/>
  <c r="I328" i="6"/>
  <c r="J329" i="6" l="1"/>
  <c r="H330" i="6"/>
  <c r="I329" i="6"/>
  <c r="J330" i="6" l="1"/>
  <c r="H331" i="6"/>
  <c r="I330" i="6"/>
  <c r="J331" i="6" l="1"/>
  <c r="H332" i="6"/>
  <c r="I331" i="6"/>
  <c r="J332" i="6" l="1"/>
  <c r="H333" i="6"/>
  <c r="I332" i="6"/>
  <c r="J333" i="6" l="1"/>
  <c r="H334" i="6"/>
  <c r="I333" i="6"/>
  <c r="J334" i="6" l="1"/>
  <c r="H335" i="6"/>
  <c r="I334" i="6"/>
  <c r="J335" i="6" l="1"/>
  <c r="H336" i="6"/>
  <c r="I335" i="6"/>
  <c r="J336" i="6" l="1"/>
  <c r="H337" i="6"/>
  <c r="I336" i="6"/>
  <c r="J337" i="6" l="1"/>
  <c r="H338" i="6"/>
  <c r="I337" i="6"/>
  <c r="J338" i="6" l="1"/>
  <c r="H339" i="6"/>
  <c r="I338" i="6"/>
  <c r="J339" i="6" l="1"/>
  <c r="H340" i="6"/>
  <c r="I339" i="6"/>
  <c r="J340" i="6" l="1"/>
  <c r="H341" i="6"/>
  <c r="I340" i="6"/>
  <c r="J341" i="6" l="1"/>
  <c r="H342" i="6"/>
  <c r="I341" i="6"/>
  <c r="J342" i="6" l="1"/>
  <c r="H343" i="6"/>
  <c r="I342" i="6"/>
  <c r="J343" i="6" l="1"/>
  <c r="H344" i="6"/>
  <c r="I343" i="6"/>
  <c r="J344" i="6" l="1"/>
  <c r="H345" i="6"/>
  <c r="I344" i="6"/>
  <c r="J345" i="6" l="1"/>
  <c r="H346" i="6"/>
  <c r="I345" i="6"/>
  <c r="J346" i="6" l="1"/>
  <c r="H347" i="6"/>
  <c r="I346" i="6"/>
  <c r="J347" i="6" l="1"/>
  <c r="H348" i="6"/>
  <c r="I347" i="6"/>
  <c r="J348" i="6" l="1"/>
  <c r="H349" i="6"/>
  <c r="I348" i="6"/>
  <c r="J349" i="6" l="1"/>
  <c r="H350" i="6"/>
  <c r="I349" i="6"/>
  <c r="J350" i="6" l="1"/>
  <c r="H351" i="6"/>
  <c r="I350" i="6"/>
  <c r="J351" i="6" l="1"/>
  <c r="H352" i="6"/>
  <c r="I351" i="6"/>
  <c r="J352" i="6" l="1"/>
  <c r="H353" i="6"/>
  <c r="I352" i="6"/>
  <c r="J353" i="6" l="1"/>
  <c r="H354" i="6"/>
  <c r="I353" i="6"/>
  <c r="J354" i="6" l="1"/>
  <c r="H355" i="6"/>
  <c r="I354" i="6"/>
  <c r="J355" i="6" l="1"/>
  <c r="H356" i="6"/>
  <c r="I355" i="6"/>
  <c r="J356" i="6" l="1"/>
  <c r="H357" i="6"/>
  <c r="I356" i="6"/>
  <c r="J357" i="6" l="1"/>
  <c r="H358" i="6"/>
  <c r="I357" i="6"/>
  <c r="J358" i="6" l="1"/>
  <c r="H359" i="6"/>
  <c r="I358" i="6"/>
  <c r="J359" i="6" l="1"/>
  <c r="H360" i="6"/>
  <c r="I359" i="6"/>
  <c r="J360" i="6" l="1"/>
  <c r="H361" i="6"/>
  <c r="I360" i="6"/>
  <c r="J361" i="6" l="1"/>
  <c r="H362" i="6"/>
  <c r="I361" i="6"/>
  <c r="J362" i="6" l="1"/>
  <c r="H363" i="6"/>
  <c r="I362" i="6"/>
  <c r="J363" i="6" l="1"/>
  <c r="H364" i="6"/>
  <c r="I363" i="6"/>
  <c r="J364" i="6" l="1"/>
  <c r="H365" i="6"/>
  <c r="I364" i="6"/>
  <c r="J365" i="6" l="1"/>
  <c r="H366" i="6"/>
  <c r="I365" i="6"/>
  <c r="J366" i="6" l="1"/>
  <c r="H367" i="6"/>
  <c r="I366" i="6"/>
  <c r="I367" i="6" l="1"/>
  <c r="N2" i="6" s="1"/>
  <c r="J367" i="6"/>
  <c r="M4" i="6" s="1"/>
  <c r="N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E5DB94-DD53-40BB-A55B-AD9FFB7A9C49}" keepAlive="1" name="Zapytanie — fotowoltaika" description="Połączenie z zapytaniem „fotowoltaika” w skoroszycie." type="5" refreshedVersion="0" background="1">
    <dbPr connection="Provider=Microsoft.Mashup.OleDb.1;Data Source=$Workbook$;Location=fotowoltaika;Extended Properties=&quot;&quot;" command="SELECT * FROM [fotowoltaika]"/>
  </connection>
</connections>
</file>

<file path=xl/sharedStrings.xml><?xml version="1.0" encoding="utf-8"?>
<sst xmlns="http://schemas.openxmlformats.org/spreadsheetml/2006/main" count="50" uniqueCount="22">
  <si>
    <t>data</t>
  </si>
  <si>
    <t>wsch</t>
  </si>
  <si>
    <t>zach</t>
  </si>
  <si>
    <t>st_zach</t>
  </si>
  <si>
    <t>produkcja</t>
  </si>
  <si>
    <t>oddanie</t>
  </si>
  <si>
    <t>pobranie</t>
  </si>
  <si>
    <t>zużycie</t>
  </si>
  <si>
    <t>wzrost_stopnia</t>
  </si>
  <si>
    <t>wzrost_energii</t>
  </si>
  <si>
    <t>nasłonecznienie</t>
  </si>
  <si>
    <t>Etykiety wierszy</t>
  </si>
  <si>
    <t>Suma końcowa</t>
  </si>
  <si>
    <t>Średnia z produkcja</t>
  </si>
  <si>
    <t>Średnia z oddanie</t>
  </si>
  <si>
    <t>Średnia z pobranie</t>
  </si>
  <si>
    <t>Nasłonecznienie</t>
  </si>
  <si>
    <t>Produkcja</t>
  </si>
  <si>
    <t>Oddanie</t>
  </si>
  <si>
    <t>Pobranie</t>
  </si>
  <si>
    <t>Konto</t>
  </si>
  <si>
    <t>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</si>
</sst>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164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16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1" xfId="0" applyNumberFormat="1" applyFont="1" applyFill="1" applyBorder="1"/>
    <xf numFmtId="164" fontId="0" fillId="3" borderId="2" xfId="0" applyNumberFormat="1" applyFont="1" applyFill="1" applyBorder="1"/>
    <xf numFmtId="0" fontId="1" fillId="2" borderId="0" xfId="0" applyFont="1" applyFill="1" applyBorder="1"/>
    <xf numFmtId="2" fontId="1" fillId="2" borderId="0" xfId="0" applyNumberFormat="1" applyFont="1" applyFill="1" applyBorder="1"/>
    <xf numFmtId="2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  <xf numFmtId="0" fontId="0" fillId="0" borderId="0" xfId="0" applyNumberFormat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'6.3'!$K$17</c:f>
              <c:strCache>
                <c:ptCount val="1"/>
                <c:pt idx="0">
                  <c:v>Produkcja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'6.3'!$K$18:$K$27</c:f>
              <c:numCache>
                <c:formatCode>0.00</c:formatCode>
                <c:ptCount val="10"/>
                <c:pt idx="0">
                  <c:v>2.8851612903225816</c:v>
                </c:pt>
                <c:pt idx="1">
                  <c:v>3.8480851063829786</c:v>
                </c:pt>
                <c:pt idx="2">
                  <c:v>5.4006060606060604</c:v>
                </c:pt>
                <c:pt idx="3">
                  <c:v>6.9366666666666665</c:v>
                </c:pt>
                <c:pt idx="4">
                  <c:v>7.1539999999999981</c:v>
                </c:pt>
                <c:pt idx="5">
                  <c:v>11.322666666666665</c:v>
                </c:pt>
                <c:pt idx="6">
                  <c:v>12.232258064516127</c:v>
                </c:pt>
                <c:pt idx="7">
                  <c:v>10.975483870967745</c:v>
                </c:pt>
                <c:pt idx="8">
                  <c:v>13.208108108108107</c:v>
                </c:pt>
                <c:pt idx="9">
                  <c:v>12.592615384615385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BA-43B2-A6F9-8193D2B2DF6E}"/>
            </c:ext>
          </c:extLst>
        </c:ser>
        <c:ser>
          <c:idx val="1"/>
          <c:order val="1"/>
          <c:tx>
            <c:strRef>
              <c:f>'6.3'!$L$17</c:f>
              <c:strCache>
                <c:ptCount val="1"/>
                <c:pt idx="0">
                  <c:v>Oddanie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'6.3'!$L$18:$L$27</c:f>
              <c:numCache>
                <c:formatCode>0.00</c:formatCode>
                <c:ptCount val="10"/>
                <c:pt idx="0">
                  <c:v>1.0867741935483872</c:v>
                </c:pt>
                <c:pt idx="1">
                  <c:v>1.6531914893617019</c:v>
                </c:pt>
                <c:pt idx="2">
                  <c:v>2.5590909090909082</c:v>
                </c:pt>
                <c:pt idx="3">
                  <c:v>3.0203333333333329</c:v>
                </c:pt>
                <c:pt idx="4">
                  <c:v>3.4816666666666674</c:v>
                </c:pt>
                <c:pt idx="5">
                  <c:v>5.4006666666666669</c:v>
                </c:pt>
                <c:pt idx="6">
                  <c:v>6.347419354838709</c:v>
                </c:pt>
                <c:pt idx="7">
                  <c:v>5.5135483870967743</c:v>
                </c:pt>
                <c:pt idx="8">
                  <c:v>6.6997297297297296</c:v>
                </c:pt>
                <c:pt idx="9">
                  <c:v>6.7406153846153831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BA-43B2-A6F9-8193D2B2DF6E}"/>
            </c:ext>
          </c:extLst>
        </c:ser>
        <c:ser>
          <c:idx val="2"/>
          <c:order val="2"/>
          <c:tx>
            <c:strRef>
              <c:f>'6.3'!$M$17</c:f>
              <c:strCache>
                <c:ptCount val="1"/>
                <c:pt idx="0">
                  <c:v>Pobranie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'6.3'!$M$18:$M$27</c:f>
              <c:numCache>
                <c:formatCode>0.00</c:formatCode>
                <c:ptCount val="10"/>
                <c:pt idx="0">
                  <c:v>4.9245161290322583</c:v>
                </c:pt>
                <c:pt idx="1">
                  <c:v>3.3853191489361691</c:v>
                </c:pt>
                <c:pt idx="2">
                  <c:v>3.1033333333333335</c:v>
                </c:pt>
                <c:pt idx="3">
                  <c:v>2.8179999999999996</c:v>
                </c:pt>
                <c:pt idx="4">
                  <c:v>2.6263333333333332</c:v>
                </c:pt>
                <c:pt idx="5">
                  <c:v>2.6583333333333337</c:v>
                </c:pt>
                <c:pt idx="6">
                  <c:v>2.4974193548387102</c:v>
                </c:pt>
                <c:pt idx="7">
                  <c:v>2.5077419354838715</c:v>
                </c:pt>
                <c:pt idx="8">
                  <c:v>2.4445945945945948</c:v>
                </c:pt>
                <c:pt idx="9">
                  <c:v>2.7924615384615374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BA-43B2-A6F9-8193D2B2D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47248"/>
        <c:axId val="205855408"/>
      </c:lineChart>
      <c:catAx>
        <c:axId val="20584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godziny nasłonecznienia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855408"/>
        <c:crosses val="autoZero"/>
        <c:auto val="1"/>
        <c:lblAlgn val="ctr"/>
        <c:lblOffset val="100"/>
        <c:noMultiLvlLbl val="0"/>
      </c:catAx>
      <c:valAx>
        <c:axId val="2058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84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13</xdr:row>
      <xdr:rowOff>14287</xdr:rowOff>
    </xdr:from>
    <xdr:to>
      <xdr:col>22</xdr:col>
      <xdr:colOff>28575</xdr:colOff>
      <xdr:row>27</xdr:row>
      <xdr:rowOff>90487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DB8F329-A253-4765-32CC-DA45BF2DE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7.379390856484" createdVersion="8" refreshedVersion="8" minRefreshableVersion="3" recordCount="365" xr:uid="{C7998402-C785-4F00-A517-786F4030EC59}">
  <cacheSource type="worksheet">
    <worksheetSource ref="A1:H366" sheet="6.3"/>
  </cacheSource>
  <cacheFields count="8">
    <cacheField name="data" numFmtId="14">
      <sharedItems containsSemiMixedTypes="0" containsNonDate="0" containsDate="1" containsString="0" minDate="2022-01-01T00:00:00" maxDate="2023-01-01T00:00:00"/>
    </cacheField>
    <cacheField name="wsch" numFmtId="164">
      <sharedItems containsSemiMixedTypes="0" containsNonDate="0" containsDate="1" containsString="0" minDate="1899-12-30T04:11:48" maxDate="1899-12-30T07:43:03"/>
    </cacheField>
    <cacheField name="zach" numFmtId="164">
      <sharedItems containsSemiMixedTypes="0" containsNonDate="0" containsDate="1" containsString="0" minDate="1899-12-30T15:25:28" maxDate="1899-12-30T21:03:44"/>
    </cacheField>
    <cacheField name="st_zach" numFmtId="0">
      <sharedItems containsSemiMixedTypes="0" containsString="0" containsNumber="1" containsInteger="1" minValue="0" maxValue="8"/>
    </cacheField>
    <cacheField name="produkcja" numFmtId="0">
      <sharedItems containsSemiMixedTypes="0" containsString="0" containsNumber="1" minValue="0.26" maxValue="19.920000000000002"/>
    </cacheField>
    <cacheField name="oddanie" numFmtId="0">
      <sharedItems containsSemiMixedTypes="0" containsString="0" containsNumber="1" minValue="0" maxValue="12.94"/>
    </cacheField>
    <cacheField name="pobranie" numFmtId="0">
      <sharedItems containsSemiMixedTypes="0" containsString="0" containsNumber="1" minValue="0.21" maxValue="7.02"/>
    </cacheField>
    <cacheField name="nasłonecznienie" numFmtId="2">
      <sharedItems containsSemiMixedTypes="0" containsString="0" containsNumber="1" containsInteger="1" minValue="7" maxValue="16" count="10">
        <n v="7"/>
        <n v="8"/>
        <n v="9"/>
        <n v="10"/>
        <n v="11"/>
        <n v="12"/>
        <n v="13"/>
        <n v="14"/>
        <n v="15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d v="1899-12-30T07:42:56"/>
    <d v="1899-12-30T15:36:07"/>
    <n v="0"/>
    <n v="7.78"/>
    <n v="3.29"/>
    <n v="4.5599999999999996"/>
    <x v="0"/>
  </r>
  <r>
    <d v="2022-01-02T00:00:00"/>
    <d v="1899-12-30T07:42:47"/>
    <d v="1899-12-30T15:37:12"/>
    <n v="4"/>
    <n v="4.47"/>
    <n v="1.23"/>
    <n v="3.99"/>
    <x v="0"/>
  </r>
  <r>
    <d v="2022-01-03T00:00:00"/>
    <d v="1899-12-30T07:42:35"/>
    <d v="1899-12-30T15:38:20"/>
    <n v="4"/>
    <n v="6.02"/>
    <n v="4.74"/>
    <n v="2.56"/>
    <x v="0"/>
  </r>
  <r>
    <d v="2022-01-04T00:00:00"/>
    <d v="1899-12-30T07:42:19"/>
    <d v="1899-12-30T15:39:30"/>
    <n v="6"/>
    <n v="2.63"/>
    <n v="1.22"/>
    <n v="5.22"/>
    <x v="0"/>
  </r>
  <r>
    <d v="2022-01-05T00:00:00"/>
    <d v="1899-12-30T07:42:00"/>
    <d v="1899-12-30T15:40:43"/>
    <n v="2"/>
    <n v="7.99"/>
    <n v="5.68"/>
    <n v="4.22"/>
    <x v="0"/>
  </r>
  <r>
    <d v="2022-01-06T00:00:00"/>
    <d v="1899-12-30T07:41:38"/>
    <d v="1899-12-30T15:41:58"/>
    <n v="3"/>
    <n v="4.6500000000000004"/>
    <n v="3.24"/>
    <n v="2.57"/>
    <x v="1"/>
  </r>
  <r>
    <d v="2022-01-07T00:00:00"/>
    <d v="1899-12-30T07:41:12"/>
    <d v="1899-12-30T15:43:16"/>
    <n v="1"/>
    <n v="7.91"/>
    <n v="2.34"/>
    <n v="2.2200000000000002"/>
    <x v="1"/>
  </r>
  <r>
    <d v="2022-01-08T00:00:00"/>
    <d v="1899-12-30T07:40:43"/>
    <d v="1899-12-30T15:44:36"/>
    <n v="1"/>
    <n v="7.24"/>
    <n v="2.58"/>
    <n v="2.4700000000000002"/>
    <x v="1"/>
  </r>
  <r>
    <d v="2022-01-09T00:00:00"/>
    <d v="1899-12-30T07:40:11"/>
    <d v="1899-12-30T15:45:59"/>
    <n v="1"/>
    <n v="7.96"/>
    <n v="2.74"/>
    <n v="1.95"/>
    <x v="1"/>
  </r>
  <r>
    <d v="2022-01-10T00:00:00"/>
    <d v="1899-12-30T07:39:35"/>
    <d v="1899-12-30T15:47:23"/>
    <n v="3"/>
    <n v="2.37"/>
    <n v="0.96"/>
    <n v="2.3199999999999998"/>
    <x v="1"/>
  </r>
  <r>
    <d v="2022-01-11T00:00:00"/>
    <d v="1899-12-30T07:38:56"/>
    <d v="1899-12-30T15:48:50"/>
    <n v="5"/>
    <n v="1.56"/>
    <n v="0.45"/>
    <n v="3.21"/>
    <x v="1"/>
  </r>
  <r>
    <d v="2022-01-12T00:00:00"/>
    <d v="1899-12-30T07:38:14"/>
    <d v="1899-12-30T15:50:18"/>
    <n v="6"/>
    <n v="1.27"/>
    <n v="0.22"/>
    <n v="3.34"/>
    <x v="1"/>
  </r>
  <r>
    <d v="2022-01-13T00:00:00"/>
    <d v="1899-12-30T07:37:29"/>
    <d v="1899-12-30T15:51:49"/>
    <n v="0"/>
    <n v="8.6300000000000008"/>
    <n v="3.47"/>
    <n v="2.2599999999999998"/>
    <x v="1"/>
  </r>
  <r>
    <d v="2022-01-14T00:00:00"/>
    <d v="1899-12-30T07:36:41"/>
    <d v="1899-12-30T15:53:21"/>
    <n v="1"/>
    <n v="7.36"/>
    <n v="2.2200000000000002"/>
    <n v="2.56"/>
    <x v="1"/>
  </r>
  <r>
    <d v="2022-01-15T00:00:00"/>
    <d v="1899-12-30T07:35:50"/>
    <d v="1899-12-30T15:54:55"/>
    <n v="5"/>
    <n v="2.11"/>
    <n v="0.45"/>
    <n v="2.21"/>
    <x v="1"/>
  </r>
  <r>
    <d v="2022-01-16T00:00:00"/>
    <d v="1899-12-30T07:34:56"/>
    <d v="1899-12-30T15:56:31"/>
    <n v="3"/>
    <n v="5.31"/>
    <n v="3.45"/>
    <n v="1.22"/>
    <x v="1"/>
  </r>
  <r>
    <d v="2022-01-17T00:00:00"/>
    <d v="1899-12-30T07:33:59"/>
    <d v="1899-12-30T15:58:08"/>
    <n v="2"/>
    <n v="5.93"/>
    <n v="1.25"/>
    <n v="3.34"/>
    <x v="1"/>
  </r>
  <r>
    <d v="2022-01-18T00:00:00"/>
    <d v="1899-12-30T07:32:59"/>
    <d v="1899-12-30T15:59:46"/>
    <n v="6"/>
    <n v="2.19"/>
    <n v="0.21"/>
    <n v="3.22"/>
    <x v="1"/>
  </r>
  <r>
    <d v="2022-01-19T00:00:00"/>
    <d v="1899-12-30T07:31:56"/>
    <d v="1899-12-30T16:01:26"/>
    <n v="4"/>
    <n v="3.53"/>
    <n v="0.34"/>
    <n v="1.25"/>
    <x v="1"/>
  </r>
  <r>
    <d v="2022-01-20T00:00:00"/>
    <d v="1899-12-30T07:30:51"/>
    <d v="1899-12-30T16:03:07"/>
    <n v="3"/>
    <n v="4.33"/>
    <n v="0.99"/>
    <n v="0.21"/>
    <x v="1"/>
  </r>
  <r>
    <d v="2022-01-21T00:00:00"/>
    <d v="1899-12-30T07:29:43"/>
    <d v="1899-12-30T16:04:50"/>
    <n v="6"/>
    <n v="2.33"/>
    <n v="0.02"/>
    <n v="2.61"/>
    <x v="1"/>
  </r>
  <r>
    <d v="2022-01-22T00:00:00"/>
    <d v="1899-12-30T07:28:32"/>
    <d v="1899-12-30T16:06:33"/>
    <n v="6"/>
    <n v="3.21"/>
    <n v="0.78"/>
    <n v="2.2200000000000002"/>
    <x v="1"/>
  </r>
  <r>
    <d v="2022-01-23T00:00:00"/>
    <d v="1899-12-30T07:27:19"/>
    <d v="1899-12-30T16:08:18"/>
    <n v="5"/>
    <n v="4.0199999999999996"/>
    <n v="2.0099999999999998"/>
    <n v="1.01"/>
    <x v="1"/>
  </r>
  <r>
    <d v="2022-01-24T00:00:00"/>
    <d v="1899-12-30T07:26:03"/>
    <d v="1899-12-30T16:10:03"/>
    <n v="4"/>
    <n v="4.45"/>
    <n v="2.34"/>
    <n v="1.95"/>
    <x v="1"/>
  </r>
  <r>
    <d v="2022-01-25T00:00:00"/>
    <d v="1899-12-30T07:24:44"/>
    <d v="1899-12-30T16:11:49"/>
    <n v="3"/>
    <n v="5.52"/>
    <n v="2.21"/>
    <n v="1.21"/>
    <x v="1"/>
  </r>
  <r>
    <d v="2022-01-26T00:00:00"/>
    <d v="1899-12-30T07:23:24"/>
    <d v="1899-12-30T16:13:37"/>
    <n v="2"/>
    <n v="5.1100000000000003"/>
    <n v="2.02"/>
    <n v="1.35"/>
    <x v="1"/>
  </r>
  <r>
    <d v="2022-01-27T00:00:00"/>
    <d v="1899-12-30T07:22:01"/>
    <d v="1899-12-30T16:15:25"/>
    <n v="1"/>
    <n v="4.97"/>
    <n v="1.92"/>
    <n v="2.0099999999999998"/>
    <x v="1"/>
  </r>
  <r>
    <d v="2022-01-28T00:00:00"/>
    <d v="1899-12-30T07:20:35"/>
    <d v="1899-12-30T16:17:13"/>
    <n v="1"/>
    <n v="5.67"/>
    <n v="3.21"/>
    <n v="1.01"/>
    <x v="1"/>
  </r>
  <r>
    <d v="2022-01-29T00:00:00"/>
    <d v="1899-12-30T07:19:07"/>
    <d v="1899-12-30T16:19:02"/>
    <n v="1"/>
    <n v="5.76"/>
    <n v="3.33"/>
    <n v="2.0099999999999998"/>
    <x v="1"/>
  </r>
  <r>
    <d v="2022-01-30T00:00:00"/>
    <d v="1899-12-30T07:17:38"/>
    <d v="1899-12-30T16:20:52"/>
    <n v="2"/>
    <n v="5.97"/>
    <n v="3.48"/>
    <n v="1.93"/>
    <x v="2"/>
  </r>
  <r>
    <d v="2022-01-31T00:00:00"/>
    <d v="1899-12-30T07:16:06"/>
    <d v="1899-12-30T16:22:42"/>
    <n v="1"/>
    <n v="6.01"/>
    <n v="2.34"/>
    <n v="0.94"/>
    <x v="2"/>
  </r>
  <r>
    <d v="2022-02-01T00:00:00"/>
    <d v="1899-12-30T07:14:32"/>
    <d v="1899-12-30T16:24:33"/>
    <n v="1"/>
    <n v="6.18"/>
    <n v="1.34"/>
    <n v="1.28"/>
    <x v="2"/>
  </r>
  <r>
    <d v="2022-02-02T00:00:00"/>
    <d v="1899-12-30T07:12:56"/>
    <d v="1899-12-30T16:26:24"/>
    <n v="1"/>
    <n v="7.25"/>
    <n v="1.57"/>
    <n v="1.01"/>
    <x v="2"/>
  </r>
  <r>
    <d v="2022-02-03T00:00:00"/>
    <d v="1899-12-30T07:11:18"/>
    <d v="1899-12-30T16:28:16"/>
    <n v="4"/>
    <n v="3.63"/>
    <n v="1.21"/>
    <n v="2.25"/>
    <x v="2"/>
  </r>
  <r>
    <d v="2022-02-04T00:00:00"/>
    <d v="1899-12-30T07:09:38"/>
    <d v="1899-12-30T16:30:07"/>
    <n v="1"/>
    <n v="7.8"/>
    <n v="3.34"/>
    <n v="2.94"/>
    <x v="2"/>
  </r>
  <r>
    <d v="2022-02-05T00:00:00"/>
    <d v="1899-12-30T07:07:56"/>
    <d v="1899-12-30T16:31:59"/>
    <n v="2"/>
    <n v="5.0199999999999996"/>
    <n v="2.13"/>
    <n v="3.1"/>
    <x v="2"/>
  </r>
  <r>
    <d v="2022-02-06T00:00:00"/>
    <d v="1899-12-30T07:06:12"/>
    <d v="1899-12-30T16:33:51"/>
    <n v="1"/>
    <n v="6.87"/>
    <n v="2.89"/>
    <n v="3.34"/>
    <x v="2"/>
  </r>
  <r>
    <d v="2022-02-07T00:00:00"/>
    <d v="1899-12-30T07:04:27"/>
    <d v="1899-12-30T16:35:44"/>
    <n v="1"/>
    <n v="7.59"/>
    <n v="2.56"/>
    <n v="2.78"/>
    <x v="2"/>
  </r>
  <r>
    <d v="2022-02-08T00:00:00"/>
    <d v="1899-12-30T07:02:40"/>
    <d v="1899-12-30T16:37:36"/>
    <n v="1"/>
    <n v="7.84"/>
    <n v="2.63"/>
    <n v="2.19"/>
    <x v="2"/>
  </r>
  <r>
    <d v="2022-02-09T00:00:00"/>
    <d v="1899-12-30T07:00:52"/>
    <d v="1899-12-30T16:39:29"/>
    <n v="6"/>
    <n v="2.93"/>
    <n v="1.1299999999999999"/>
    <n v="3.1"/>
    <x v="2"/>
  </r>
  <r>
    <d v="2022-02-10T00:00:00"/>
    <d v="1899-12-30T06:59:01"/>
    <d v="1899-12-30T16:41:21"/>
    <n v="7"/>
    <n v="1.24"/>
    <n v="0.3"/>
    <n v="2.14"/>
    <x v="2"/>
  </r>
  <r>
    <d v="2022-02-11T00:00:00"/>
    <d v="1899-12-30T06:57:10"/>
    <d v="1899-12-30T16:43:14"/>
    <n v="8"/>
    <n v="0.26"/>
    <n v="0"/>
    <n v="4.8600000000000003"/>
    <x v="2"/>
  </r>
  <r>
    <d v="2022-02-12T00:00:00"/>
    <d v="1899-12-30T06:55:16"/>
    <d v="1899-12-30T16:45:06"/>
    <n v="2"/>
    <n v="5.79"/>
    <n v="1.7"/>
    <n v="0.8"/>
    <x v="2"/>
  </r>
  <r>
    <d v="2022-02-13T00:00:00"/>
    <d v="1899-12-30T06:53:22"/>
    <d v="1899-12-30T16:46:58"/>
    <n v="3"/>
    <n v="5.26"/>
    <n v="1.42"/>
    <n v="2.34"/>
    <x v="2"/>
  </r>
  <r>
    <d v="2022-02-14T00:00:00"/>
    <d v="1899-12-30T06:51:25"/>
    <d v="1899-12-30T16:48:51"/>
    <n v="2"/>
    <n v="5.62"/>
    <n v="2.41"/>
    <n v="2.59"/>
    <x v="2"/>
  </r>
  <r>
    <d v="2022-02-15T00:00:00"/>
    <d v="1899-12-30T06:49:28"/>
    <d v="1899-12-30T16:50:43"/>
    <n v="4"/>
    <n v="3.58"/>
    <n v="1.63"/>
    <n v="3.21"/>
    <x v="3"/>
  </r>
  <r>
    <d v="2022-02-16T00:00:00"/>
    <d v="1899-12-30T06:47:29"/>
    <d v="1899-12-30T16:52:35"/>
    <n v="7"/>
    <n v="1.1599999999999999"/>
    <n v="0.25"/>
    <n v="2.1"/>
    <x v="3"/>
  </r>
  <r>
    <d v="2022-02-17T00:00:00"/>
    <d v="1899-12-30T06:45:29"/>
    <d v="1899-12-30T16:54:27"/>
    <n v="1"/>
    <n v="8.59"/>
    <n v="3.68"/>
    <n v="2.36"/>
    <x v="3"/>
  </r>
  <r>
    <d v="2022-02-18T00:00:00"/>
    <d v="1899-12-30T06:43:28"/>
    <d v="1899-12-30T16:56:18"/>
    <n v="3"/>
    <n v="4.24"/>
    <n v="1.27"/>
    <n v="3.09"/>
    <x v="3"/>
  </r>
  <r>
    <d v="2022-02-19T00:00:00"/>
    <d v="1899-12-30T06:41:26"/>
    <d v="1899-12-30T16:58:10"/>
    <n v="6"/>
    <n v="2.1800000000000002"/>
    <n v="0.9"/>
    <n v="3.17"/>
    <x v="3"/>
  </r>
  <r>
    <d v="2022-02-20T00:00:00"/>
    <d v="1899-12-30T06:39:22"/>
    <d v="1899-12-30T17:00:01"/>
    <n v="0"/>
    <n v="9.14"/>
    <n v="2.74"/>
    <n v="1.96"/>
    <x v="3"/>
  </r>
  <r>
    <d v="2022-02-21T00:00:00"/>
    <d v="1899-12-30T06:37:18"/>
    <d v="1899-12-30T17:01:52"/>
    <n v="0"/>
    <n v="9.85"/>
    <n v="3.02"/>
    <n v="2.46"/>
    <x v="3"/>
  </r>
  <r>
    <d v="2022-02-22T00:00:00"/>
    <d v="1899-12-30T06:35:12"/>
    <d v="1899-12-30T17:03:43"/>
    <n v="1"/>
    <n v="9.2899999999999991"/>
    <n v="2.79"/>
    <n v="1.49"/>
    <x v="3"/>
  </r>
  <r>
    <d v="2022-02-23T00:00:00"/>
    <d v="1899-12-30T06:33:05"/>
    <d v="1899-12-30T17:05:34"/>
    <n v="4"/>
    <n v="2.57"/>
    <n v="0.76"/>
    <n v="4.03"/>
    <x v="3"/>
  </r>
  <r>
    <d v="2022-02-24T00:00:00"/>
    <d v="1899-12-30T06:30:58"/>
    <d v="1899-12-30T17:07:24"/>
    <n v="0"/>
    <n v="9.64"/>
    <n v="3.82"/>
    <n v="2.36"/>
    <x v="3"/>
  </r>
  <r>
    <d v="2022-02-25T00:00:00"/>
    <d v="1899-12-30T06:28:49"/>
    <d v="1899-12-30T17:09:14"/>
    <n v="0"/>
    <n v="9.35"/>
    <n v="3.73"/>
    <n v="2.1800000000000002"/>
    <x v="3"/>
  </r>
  <r>
    <d v="2022-02-26T00:00:00"/>
    <d v="1899-12-30T06:26:40"/>
    <d v="1899-12-30T17:11:04"/>
    <n v="0"/>
    <n v="8.76"/>
    <n v="3.92"/>
    <n v="2.4"/>
    <x v="3"/>
  </r>
  <r>
    <d v="2022-02-27T00:00:00"/>
    <d v="1899-12-30T06:24:29"/>
    <d v="1899-12-30T17:12:53"/>
    <n v="0"/>
    <n v="9.77"/>
    <n v="3.26"/>
    <n v="1.3"/>
    <x v="3"/>
  </r>
  <r>
    <d v="2022-02-28T00:00:00"/>
    <d v="1899-12-30T06:22:18"/>
    <d v="1899-12-30T17:14:43"/>
    <n v="5"/>
    <n v="2.93"/>
    <n v="1.03"/>
    <n v="2.99"/>
    <x v="3"/>
  </r>
  <r>
    <d v="2022-03-01T00:00:00"/>
    <d v="1899-12-30T06:20:07"/>
    <d v="1899-12-30T17:16:32"/>
    <n v="2"/>
    <n v="4.66"/>
    <n v="1.37"/>
    <n v="2.0499999999999998"/>
    <x v="3"/>
  </r>
  <r>
    <d v="2022-03-02T00:00:00"/>
    <d v="1899-12-30T06:17:54"/>
    <d v="1899-12-30T17:18:20"/>
    <n v="6"/>
    <n v="2.99"/>
    <n v="0.74"/>
    <n v="1.48"/>
    <x v="4"/>
  </r>
  <r>
    <d v="2022-03-03T00:00:00"/>
    <d v="1899-12-30T06:15:41"/>
    <d v="1899-12-30T17:20:09"/>
    <n v="7"/>
    <n v="1.1399999999999999"/>
    <n v="0.22"/>
    <n v="3.27"/>
    <x v="4"/>
  </r>
  <r>
    <d v="2022-03-04T00:00:00"/>
    <d v="1899-12-30T06:13:27"/>
    <d v="1899-12-30T17:21:57"/>
    <n v="0"/>
    <n v="9.7100000000000009"/>
    <n v="3.95"/>
    <n v="1.96"/>
    <x v="4"/>
  </r>
  <r>
    <d v="2022-03-05T00:00:00"/>
    <d v="1899-12-30T06:11:12"/>
    <d v="1899-12-30T17:23:45"/>
    <n v="0"/>
    <n v="9.92"/>
    <n v="3.01"/>
    <n v="1.52"/>
    <x v="4"/>
  </r>
  <r>
    <d v="2022-03-06T00:00:00"/>
    <d v="1899-12-30T06:08:57"/>
    <d v="1899-12-30T17:25:33"/>
    <n v="1"/>
    <n v="9.66"/>
    <n v="2.79"/>
    <n v="1.24"/>
    <x v="4"/>
  </r>
  <r>
    <d v="2022-03-07T00:00:00"/>
    <d v="1899-12-30T06:06:41"/>
    <d v="1899-12-30T17:27:20"/>
    <n v="4"/>
    <n v="3.6"/>
    <n v="1.68"/>
    <n v="2.75"/>
    <x v="4"/>
  </r>
  <r>
    <d v="2022-03-08T00:00:00"/>
    <d v="1899-12-30T06:04:25"/>
    <d v="1899-12-30T17:29:07"/>
    <n v="2"/>
    <n v="4.9000000000000004"/>
    <n v="2.5299999999999998"/>
    <n v="2.46"/>
    <x v="4"/>
  </r>
  <r>
    <d v="2022-03-09T00:00:00"/>
    <d v="1899-12-30T06:02:08"/>
    <d v="1899-12-30T17:30:54"/>
    <n v="3"/>
    <n v="3.29"/>
    <n v="0.73"/>
    <n v="2.4300000000000002"/>
    <x v="4"/>
  </r>
  <r>
    <d v="2022-03-10T00:00:00"/>
    <d v="1899-12-30T05:59:51"/>
    <d v="1899-12-30T17:32:41"/>
    <n v="1"/>
    <n v="7.92"/>
    <n v="1.58"/>
    <n v="1.63"/>
    <x v="4"/>
  </r>
  <r>
    <d v="2022-03-11T00:00:00"/>
    <d v="1899-12-30T05:57:34"/>
    <d v="1899-12-30T17:34:27"/>
    <n v="4"/>
    <n v="2.99"/>
    <n v="1.05"/>
    <n v="2.89"/>
    <x v="4"/>
  </r>
  <r>
    <d v="2022-03-12T00:00:00"/>
    <d v="1899-12-30T05:55:15"/>
    <d v="1899-12-30T17:36:13"/>
    <n v="0"/>
    <n v="11.09"/>
    <n v="3.46"/>
    <n v="1.28"/>
    <x v="4"/>
  </r>
  <r>
    <d v="2022-03-13T00:00:00"/>
    <d v="1899-12-30T05:52:57"/>
    <d v="1899-12-30T17:37:59"/>
    <n v="0"/>
    <n v="12.5"/>
    <n v="3.14"/>
    <n v="1.24"/>
    <x v="4"/>
  </r>
  <r>
    <d v="2022-03-14T00:00:00"/>
    <d v="1899-12-30T05:50:38"/>
    <d v="1899-12-30T17:39:45"/>
    <n v="2"/>
    <n v="5.32"/>
    <n v="2.64"/>
    <n v="3.06"/>
    <x v="4"/>
  </r>
  <r>
    <d v="2022-03-15T00:00:00"/>
    <d v="1899-12-30T05:48:19"/>
    <d v="1899-12-30T17:41:31"/>
    <n v="6"/>
    <n v="3.14"/>
    <n v="1.73"/>
    <n v="3.82"/>
    <x v="4"/>
  </r>
  <r>
    <d v="2022-03-16T00:00:00"/>
    <d v="1899-12-30T05:46:00"/>
    <d v="1899-12-30T17:43:16"/>
    <n v="0"/>
    <n v="12.41"/>
    <n v="3.85"/>
    <n v="0.67"/>
    <x v="4"/>
  </r>
  <r>
    <d v="2022-03-17T00:00:00"/>
    <d v="1899-12-30T05:43:41"/>
    <d v="1899-12-30T17:45:01"/>
    <n v="4"/>
    <n v="3.11"/>
    <n v="2.14"/>
    <n v="4.2"/>
    <x v="5"/>
  </r>
  <r>
    <d v="2022-03-18T00:00:00"/>
    <d v="1899-12-30T05:41:21"/>
    <d v="1899-12-30T17:46:46"/>
    <n v="0"/>
    <n v="11.14"/>
    <n v="3.57"/>
    <n v="1.4"/>
    <x v="5"/>
  </r>
  <r>
    <d v="2022-03-19T00:00:00"/>
    <d v="1899-12-30T05:39:01"/>
    <d v="1899-12-30T17:48:31"/>
    <n v="0"/>
    <n v="14.64"/>
    <n v="3.79"/>
    <n v="0.42"/>
    <x v="5"/>
  </r>
  <r>
    <d v="2022-03-20T00:00:00"/>
    <d v="1899-12-30T05:36:41"/>
    <d v="1899-12-30T17:50:16"/>
    <n v="0"/>
    <n v="12.39"/>
    <n v="3.87"/>
    <n v="1.02"/>
    <x v="5"/>
  </r>
  <r>
    <d v="2022-03-21T00:00:00"/>
    <d v="1899-12-30T05:34:21"/>
    <d v="1899-12-30T17:52:00"/>
    <n v="3"/>
    <n v="3.56"/>
    <n v="1.4"/>
    <n v="3.29"/>
    <x v="5"/>
  </r>
  <r>
    <d v="2022-03-22T00:00:00"/>
    <d v="1899-12-30T05:32:01"/>
    <d v="1899-12-30T17:53:45"/>
    <n v="5"/>
    <n v="3.59"/>
    <n v="2.0099999999999998"/>
    <n v="3.66"/>
    <x v="5"/>
  </r>
  <r>
    <d v="2022-03-23T00:00:00"/>
    <d v="1899-12-30T05:29:40"/>
    <d v="1899-12-30T17:55:29"/>
    <n v="0"/>
    <n v="12.04"/>
    <n v="3.72"/>
    <n v="1.59"/>
    <x v="5"/>
  </r>
  <r>
    <d v="2022-03-24T00:00:00"/>
    <d v="1899-12-30T05:27:20"/>
    <d v="1899-12-30T17:57:13"/>
    <n v="0"/>
    <n v="12.54"/>
    <n v="3.69"/>
    <n v="1.05"/>
    <x v="5"/>
  </r>
  <r>
    <d v="2022-03-25T00:00:00"/>
    <d v="1899-12-30T05:25:00"/>
    <d v="1899-12-30T17:58:58"/>
    <n v="3"/>
    <n v="3.96"/>
    <n v="2.59"/>
    <n v="3.5"/>
    <x v="5"/>
  </r>
  <r>
    <d v="2022-03-26T00:00:00"/>
    <d v="1899-12-30T05:22:39"/>
    <d v="1899-12-30T18:00:42"/>
    <n v="0"/>
    <n v="12.15"/>
    <n v="3.61"/>
    <n v="0.86"/>
    <x v="5"/>
  </r>
  <r>
    <d v="2022-03-27T00:00:00"/>
    <d v="1899-12-30T06:20:19"/>
    <d v="1899-12-30T19:02:26"/>
    <n v="0"/>
    <n v="10.83"/>
    <n v="3.78"/>
    <n v="2.4700000000000002"/>
    <x v="5"/>
  </r>
  <r>
    <d v="2022-03-28T00:00:00"/>
    <d v="1899-12-30T06:17:59"/>
    <d v="1899-12-30T19:04:10"/>
    <n v="4"/>
    <n v="4.42"/>
    <n v="3.15"/>
    <n v="3.62"/>
    <x v="5"/>
  </r>
  <r>
    <d v="2022-03-29T00:00:00"/>
    <d v="1899-12-30T06:15:39"/>
    <d v="1899-12-30T19:05:53"/>
    <n v="7"/>
    <n v="1.83"/>
    <n v="0.6"/>
    <n v="2.89"/>
    <x v="5"/>
  </r>
  <r>
    <d v="2022-03-30T00:00:00"/>
    <d v="1899-12-30T06:13:19"/>
    <d v="1899-12-30T19:07:37"/>
    <n v="0"/>
    <n v="10.86"/>
    <n v="3.24"/>
    <n v="1.57"/>
    <x v="5"/>
  </r>
  <r>
    <d v="2022-03-31T00:00:00"/>
    <d v="1899-12-30T06:11:00"/>
    <d v="1899-12-30T19:09:21"/>
    <n v="0"/>
    <n v="10.73"/>
    <n v="3.02"/>
    <n v="2.14"/>
    <x v="5"/>
  </r>
  <r>
    <d v="2022-04-01T00:00:00"/>
    <d v="1899-12-30T06:08:40"/>
    <d v="1899-12-30T19:11:05"/>
    <n v="3"/>
    <n v="5.21"/>
    <n v="2.46"/>
    <n v="2.89"/>
    <x v="6"/>
  </r>
  <r>
    <d v="2022-04-02T00:00:00"/>
    <d v="1899-12-30T06:06:21"/>
    <d v="1899-12-30T19:12:48"/>
    <n v="0"/>
    <n v="11.83"/>
    <n v="3.14"/>
    <n v="1.08"/>
    <x v="6"/>
  </r>
  <r>
    <d v="2022-04-03T00:00:00"/>
    <d v="1899-12-30T06:04:02"/>
    <d v="1899-12-30T19:14:32"/>
    <n v="6"/>
    <n v="2.3199999999999998"/>
    <n v="1.08"/>
    <n v="4.09"/>
    <x v="6"/>
  </r>
  <r>
    <d v="2022-04-04T00:00:00"/>
    <d v="1899-12-30T06:01:44"/>
    <d v="1899-12-30T19:16:16"/>
    <n v="2"/>
    <n v="6.34"/>
    <n v="3.25"/>
    <n v="2.0099999999999998"/>
    <x v="6"/>
  </r>
  <r>
    <d v="2022-04-05T00:00:00"/>
    <d v="1899-12-30T05:59:25"/>
    <d v="1899-12-30T19:17:59"/>
    <n v="4"/>
    <n v="4.87"/>
    <n v="1.47"/>
    <n v="1.86"/>
    <x v="6"/>
  </r>
  <r>
    <d v="2022-04-06T00:00:00"/>
    <d v="1899-12-30T05:57:08"/>
    <d v="1899-12-30T19:19:43"/>
    <n v="4"/>
    <n v="3.57"/>
    <n v="0.16"/>
    <n v="2.94"/>
    <x v="6"/>
  </r>
  <r>
    <d v="2022-04-07T00:00:00"/>
    <d v="1899-12-30T05:54:50"/>
    <d v="1899-12-30T19:21:27"/>
    <n v="2"/>
    <n v="6.61"/>
    <n v="2.5099999999999998"/>
    <n v="1.34"/>
    <x v="6"/>
  </r>
  <r>
    <d v="2022-04-08T00:00:00"/>
    <d v="1899-12-30T05:52:33"/>
    <d v="1899-12-30T19:23:10"/>
    <n v="0"/>
    <n v="14.15"/>
    <n v="3.32"/>
    <n v="1.82"/>
    <x v="6"/>
  </r>
  <r>
    <d v="2022-04-09T00:00:00"/>
    <d v="1899-12-30T05:50:17"/>
    <d v="1899-12-30T19:24:54"/>
    <n v="0"/>
    <n v="10.3"/>
    <n v="3.31"/>
    <n v="4.1500000000000004"/>
    <x v="6"/>
  </r>
  <r>
    <d v="2022-04-10T00:00:00"/>
    <d v="1899-12-30T05:48:01"/>
    <d v="1899-12-30T19:26:38"/>
    <n v="0"/>
    <n v="10.039999999999999"/>
    <n v="3.85"/>
    <n v="3.16"/>
    <x v="6"/>
  </r>
  <r>
    <d v="2022-04-11T00:00:00"/>
    <d v="1899-12-30T05:45:45"/>
    <d v="1899-12-30T19:28:21"/>
    <n v="4"/>
    <n v="3.82"/>
    <n v="1.64"/>
    <n v="3.12"/>
    <x v="6"/>
  </r>
  <r>
    <d v="2022-04-12T00:00:00"/>
    <d v="1899-12-30T05:43:30"/>
    <d v="1899-12-30T19:30:05"/>
    <n v="1"/>
    <n v="7.92"/>
    <n v="3.79"/>
    <n v="3.05"/>
    <x v="6"/>
  </r>
  <r>
    <d v="2022-04-13T00:00:00"/>
    <d v="1899-12-30T05:41:16"/>
    <d v="1899-12-30T19:31:49"/>
    <n v="1"/>
    <n v="7.5"/>
    <n v="3.12"/>
    <n v="2.94"/>
    <x v="6"/>
  </r>
  <r>
    <d v="2022-04-14T00:00:00"/>
    <d v="1899-12-30T05:39:02"/>
    <d v="1899-12-30T19:33:32"/>
    <n v="0"/>
    <n v="12.58"/>
    <n v="3.42"/>
    <n v="2.0499999999999998"/>
    <x v="6"/>
  </r>
  <r>
    <d v="2022-04-15T00:00:00"/>
    <d v="1899-12-30T05:36:49"/>
    <d v="1899-12-30T19:35:16"/>
    <n v="2"/>
    <n v="7.66"/>
    <n v="3.41"/>
    <n v="1.68"/>
    <x v="6"/>
  </r>
  <r>
    <d v="2022-04-16T00:00:00"/>
    <d v="1899-12-30T05:34:37"/>
    <d v="1899-12-30T19:37:00"/>
    <n v="4"/>
    <n v="4.16"/>
    <n v="1.58"/>
    <n v="2.89"/>
    <x v="7"/>
  </r>
  <r>
    <d v="2022-04-17T00:00:00"/>
    <d v="1899-12-30T05:32:25"/>
    <d v="1899-12-30T19:38:44"/>
    <n v="6"/>
    <n v="2.34"/>
    <n v="1.06"/>
    <n v="2.46"/>
    <x v="7"/>
  </r>
  <r>
    <d v="2022-04-18T00:00:00"/>
    <d v="1899-12-30T05:30:15"/>
    <d v="1899-12-30T19:40:27"/>
    <n v="6"/>
    <n v="2.42"/>
    <n v="1.24"/>
    <n v="2.97"/>
    <x v="7"/>
  </r>
  <r>
    <d v="2022-04-19T00:00:00"/>
    <d v="1899-12-30T05:28:05"/>
    <d v="1899-12-30T19:42:11"/>
    <n v="4"/>
    <n v="3.78"/>
    <n v="2.0699999999999998"/>
    <n v="2.93"/>
    <x v="7"/>
  </r>
  <r>
    <d v="2022-04-20T00:00:00"/>
    <d v="1899-12-30T05:25:56"/>
    <d v="1899-12-30T19:43:54"/>
    <n v="1"/>
    <n v="7.54"/>
    <n v="2.57"/>
    <n v="2.06"/>
    <x v="7"/>
  </r>
  <r>
    <d v="2022-04-21T00:00:00"/>
    <d v="1899-12-30T05:23:48"/>
    <d v="1899-12-30T19:45:38"/>
    <n v="0"/>
    <n v="13.18"/>
    <n v="3.56"/>
    <n v="2.02"/>
    <x v="7"/>
  </r>
  <r>
    <d v="2022-04-22T00:00:00"/>
    <d v="1899-12-30T05:21:40"/>
    <d v="1899-12-30T19:47:22"/>
    <n v="5"/>
    <n v="2.54"/>
    <n v="0.68"/>
    <n v="3.58"/>
    <x v="7"/>
  </r>
  <r>
    <d v="2022-04-23T00:00:00"/>
    <d v="1899-12-30T05:19:34"/>
    <d v="1899-12-30T19:49:05"/>
    <n v="0"/>
    <n v="10.62"/>
    <n v="3.13"/>
    <n v="2.0699999999999998"/>
    <x v="7"/>
  </r>
  <r>
    <d v="2022-04-24T00:00:00"/>
    <d v="1899-12-30T05:17:29"/>
    <d v="1899-12-30T19:50:48"/>
    <n v="0"/>
    <n v="13.23"/>
    <n v="3.2"/>
    <n v="0.56000000000000005"/>
    <x v="7"/>
  </r>
  <r>
    <d v="2022-04-25T00:00:00"/>
    <d v="1899-12-30T05:15:25"/>
    <d v="1899-12-30T19:52:32"/>
    <n v="6"/>
    <n v="3.09"/>
    <n v="1.32"/>
    <n v="3.52"/>
    <x v="7"/>
  </r>
  <r>
    <d v="2022-04-26T00:00:00"/>
    <d v="1899-12-30T05:13:22"/>
    <d v="1899-12-30T19:54:15"/>
    <n v="2"/>
    <n v="5.84"/>
    <n v="2.5099999999999998"/>
    <n v="1.33"/>
    <x v="7"/>
  </r>
  <r>
    <d v="2022-04-27T00:00:00"/>
    <d v="1899-12-30T05:11:20"/>
    <d v="1899-12-30T19:55:58"/>
    <n v="2"/>
    <n v="6.08"/>
    <n v="2.34"/>
    <n v="1.65"/>
    <x v="7"/>
  </r>
  <r>
    <d v="2022-04-28T00:00:00"/>
    <d v="1899-12-30T05:09:19"/>
    <d v="1899-12-30T19:57:40"/>
    <n v="6"/>
    <n v="3.61"/>
    <n v="1.32"/>
    <n v="2.14"/>
    <x v="7"/>
  </r>
  <r>
    <d v="2022-04-29T00:00:00"/>
    <d v="1899-12-30T05:07:20"/>
    <d v="1899-12-30T19:59:23"/>
    <n v="1"/>
    <n v="9.2799999999999994"/>
    <n v="3.62"/>
    <n v="2.17"/>
    <x v="7"/>
  </r>
  <r>
    <d v="2022-04-30T00:00:00"/>
    <d v="1899-12-30T05:05:22"/>
    <d v="1899-12-30T20:01:05"/>
    <n v="5"/>
    <n v="4.6900000000000004"/>
    <n v="3.21"/>
    <n v="2.9"/>
    <x v="7"/>
  </r>
  <r>
    <d v="2022-05-01T00:00:00"/>
    <d v="1899-12-30T05:03:25"/>
    <d v="1899-12-30T20:02:47"/>
    <n v="3"/>
    <n v="4.0999999999999996"/>
    <n v="2.16"/>
    <n v="3.12"/>
    <x v="7"/>
  </r>
  <r>
    <d v="2022-05-02T00:00:00"/>
    <d v="1899-12-30T05:01:29"/>
    <d v="1899-12-30T20:04:29"/>
    <n v="0"/>
    <n v="12.23"/>
    <n v="3.94"/>
    <n v="2.0099999999999998"/>
    <x v="8"/>
  </r>
  <r>
    <d v="2022-05-03T00:00:00"/>
    <d v="1899-12-30T04:59:35"/>
    <d v="1899-12-30T20:06:11"/>
    <n v="3"/>
    <n v="5.28"/>
    <n v="2.87"/>
    <n v="2.58"/>
    <x v="8"/>
  </r>
  <r>
    <d v="2022-05-04T00:00:00"/>
    <d v="1899-12-30T04:57:42"/>
    <d v="1899-12-30T20:07:52"/>
    <n v="0"/>
    <n v="13.63"/>
    <n v="3.27"/>
    <n v="0.93"/>
    <x v="8"/>
  </r>
  <r>
    <d v="2022-05-05T00:00:00"/>
    <d v="1899-12-30T04:55:51"/>
    <d v="1899-12-30T20:09:32"/>
    <n v="0"/>
    <n v="13.36"/>
    <n v="3.91"/>
    <n v="1.56"/>
    <x v="8"/>
  </r>
  <r>
    <d v="2022-05-06T00:00:00"/>
    <d v="1899-12-30T04:54:02"/>
    <d v="1899-12-30T20:11:13"/>
    <n v="1"/>
    <n v="8.76"/>
    <n v="3.15"/>
    <n v="1.42"/>
    <x v="8"/>
  </r>
  <r>
    <d v="2022-05-07T00:00:00"/>
    <d v="1899-12-30T04:52:14"/>
    <d v="1899-12-30T20:12:52"/>
    <n v="2"/>
    <n v="5.66"/>
    <n v="4.2"/>
    <n v="2.94"/>
    <x v="8"/>
  </r>
  <r>
    <d v="2022-05-08T00:00:00"/>
    <d v="1899-12-30T04:50:27"/>
    <d v="1899-12-30T20:14:32"/>
    <n v="2"/>
    <n v="6.84"/>
    <n v="4.38"/>
    <n v="2.0499999999999998"/>
    <x v="8"/>
  </r>
  <r>
    <d v="2022-05-09T00:00:00"/>
    <d v="1899-12-30T04:48:43"/>
    <d v="1899-12-30T20:16:10"/>
    <n v="7"/>
    <n v="2.89"/>
    <n v="0.59"/>
    <n v="2.19"/>
    <x v="8"/>
  </r>
  <r>
    <d v="2022-05-10T00:00:00"/>
    <d v="1899-12-30T04:47:00"/>
    <d v="1899-12-30T20:17:49"/>
    <n v="3"/>
    <n v="5.65"/>
    <n v="3.89"/>
    <n v="3.4"/>
    <x v="8"/>
  </r>
  <r>
    <d v="2022-05-11T00:00:00"/>
    <d v="1899-12-30T04:45:19"/>
    <d v="1899-12-30T20:19:26"/>
    <n v="1"/>
    <n v="8.83"/>
    <n v="3.04"/>
    <n v="2.06"/>
    <x v="8"/>
  </r>
  <r>
    <d v="2022-05-12T00:00:00"/>
    <d v="1899-12-30T04:43:40"/>
    <d v="1899-12-30T20:21:03"/>
    <n v="0"/>
    <n v="12.14"/>
    <n v="5.23"/>
    <n v="3.48"/>
    <x v="8"/>
  </r>
  <r>
    <d v="2022-05-13T00:00:00"/>
    <d v="1899-12-30T04:42:02"/>
    <d v="1899-12-30T20:22:39"/>
    <n v="1"/>
    <n v="14.36"/>
    <n v="6.3"/>
    <n v="1.57"/>
    <x v="8"/>
  </r>
  <r>
    <d v="2022-05-14T00:00:00"/>
    <d v="1899-12-30T04:40:27"/>
    <d v="1899-12-30T20:24:14"/>
    <n v="8"/>
    <n v="1.1299999999999999"/>
    <n v="0.66"/>
    <n v="3.45"/>
    <x v="8"/>
  </r>
  <r>
    <d v="2022-05-15T00:00:00"/>
    <d v="1899-12-30T04:38:54"/>
    <d v="1899-12-30T20:25:48"/>
    <n v="1"/>
    <n v="10.59"/>
    <n v="4.34"/>
    <n v="2.6"/>
    <x v="8"/>
  </r>
  <r>
    <d v="2022-05-16T00:00:00"/>
    <d v="1899-12-30T04:37:23"/>
    <d v="1899-12-30T20:27:21"/>
    <n v="0"/>
    <n v="16.309999999999999"/>
    <n v="5.36"/>
    <n v="1.89"/>
    <x v="8"/>
  </r>
  <r>
    <d v="2022-05-17T00:00:00"/>
    <d v="1899-12-30T04:35:53"/>
    <d v="1899-12-30T20:28:54"/>
    <n v="0"/>
    <n v="14.39"/>
    <n v="5.34"/>
    <n v="1.1399999999999999"/>
    <x v="8"/>
  </r>
  <r>
    <d v="2022-05-18T00:00:00"/>
    <d v="1899-12-30T04:34:27"/>
    <d v="1899-12-30T20:30:25"/>
    <n v="0"/>
    <n v="15.29"/>
    <n v="4.59"/>
    <n v="1.27"/>
    <x v="8"/>
  </r>
  <r>
    <d v="2022-05-19T00:00:00"/>
    <d v="1899-12-30T04:33:02"/>
    <d v="1899-12-30T20:31:55"/>
    <n v="5"/>
    <n v="5.77"/>
    <n v="2.58"/>
    <n v="1.1599999999999999"/>
    <x v="8"/>
  </r>
  <r>
    <d v="2022-05-20T00:00:00"/>
    <d v="1899-12-30T04:31:39"/>
    <d v="1899-12-30T20:33:24"/>
    <n v="3"/>
    <n v="6.62"/>
    <n v="4.3"/>
    <n v="2.2799999999999998"/>
    <x v="9"/>
  </r>
  <r>
    <d v="2022-05-21T00:00:00"/>
    <d v="1899-12-30T04:30:19"/>
    <d v="1899-12-30T20:34:52"/>
    <n v="2"/>
    <n v="5.03"/>
    <n v="2.81"/>
    <n v="3.05"/>
    <x v="9"/>
  </r>
  <r>
    <d v="2022-05-22T00:00:00"/>
    <d v="1899-12-30T04:29:02"/>
    <d v="1899-12-30T20:36:18"/>
    <n v="0"/>
    <n v="14.1"/>
    <n v="4.04"/>
    <n v="2.86"/>
    <x v="9"/>
  </r>
  <r>
    <d v="2022-05-23T00:00:00"/>
    <d v="1899-12-30T04:27:46"/>
    <d v="1899-12-30T20:37:43"/>
    <n v="8"/>
    <n v="1.36"/>
    <n v="0.57999999999999996"/>
    <n v="4.95"/>
    <x v="9"/>
  </r>
  <r>
    <d v="2022-05-24T00:00:00"/>
    <d v="1899-12-30T04:26:34"/>
    <d v="1899-12-30T20:39:07"/>
    <n v="8"/>
    <n v="1.71"/>
    <n v="0.14000000000000001"/>
    <n v="3.51"/>
    <x v="9"/>
  </r>
  <r>
    <d v="2022-05-25T00:00:00"/>
    <d v="1899-12-30T04:25:23"/>
    <d v="1899-12-30T20:40:29"/>
    <n v="6"/>
    <n v="1.6"/>
    <n v="0.94"/>
    <n v="4.68"/>
    <x v="9"/>
  </r>
  <r>
    <d v="2022-05-26T00:00:00"/>
    <d v="1899-12-30T04:24:16"/>
    <d v="1899-12-30T20:41:49"/>
    <n v="4"/>
    <n v="2.0699999999999998"/>
    <n v="1.05"/>
    <n v="3.94"/>
    <x v="9"/>
  </r>
  <r>
    <d v="2022-05-27T00:00:00"/>
    <d v="1899-12-30T04:23:11"/>
    <d v="1899-12-30T20:43:08"/>
    <n v="4"/>
    <n v="2.96"/>
    <n v="1.06"/>
    <n v="3.59"/>
    <x v="9"/>
  </r>
  <r>
    <d v="2022-05-28T00:00:00"/>
    <d v="1899-12-30T04:22:08"/>
    <d v="1899-12-30T20:44:24"/>
    <n v="3"/>
    <n v="5.78"/>
    <n v="4.2"/>
    <n v="2.96"/>
    <x v="9"/>
  </r>
  <r>
    <d v="2022-05-29T00:00:00"/>
    <d v="1899-12-30T04:21:09"/>
    <d v="1899-12-30T20:45:40"/>
    <n v="1"/>
    <n v="15.38"/>
    <n v="10.54"/>
    <n v="2.16"/>
    <x v="9"/>
  </r>
  <r>
    <d v="2022-05-30T00:00:00"/>
    <d v="1899-12-30T04:20:12"/>
    <d v="1899-12-30T20:46:53"/>
    <n v="1"/>
    <n v="15.89"/>
    <n v="9.68"/>
    <n v="1.24"/>
    <x v="9"/>
  </r>
  <r>
    <d v="2022-05-31T00:00:00"/>
    <d v="1899-12-30T04:19:18"/>
    <d v="1899-12-30T20:48:04"/>
    <n v="0"/>
    <n v="18.7"/>
    <n v="9.4"/>
    <n v="0.39"/>
    <x v="9"/>
  </r>
  <r>
    <d v="2022-06-01T00:00:00"/>
    <d v="1899-12-30T04:18:27"/>
    <d v="1899-12-30T20:49:13"/>
    <n v="0"/>
    <n v="14.56"/>
    <n v="3.3"/>
    <n v="0.64"/>
    <x v="9"/>
  </r>
  <r>
    <d v="2022-06-02T00:00:00"/>
    <d v="1899-12-30T04:17:39"/>
    <d v="1899-12-30T20:50:20"/>
    <n v="3"/>
    <n v="5.87"/>
    <n v="2.16"/>
    <n v="2.14"/>
    <x v="9"/>
  </r>
  <r>
    <d v="2022-06-03T00:00:00"/>
    <d v="1899-12-30T04:16:54"/>
    <d v="1899-12-30T20:51:25"/>
    <n v="0"/>
    <n v="19.62"/>
    <n v="9.23"/>
    <n v="0.34"/>
    <x v="9"/>
  </r>
  <r>
    <d v="2022-06-04T00:00:00"/>
    <d v="1899-12-30T04:16:12"/>
    <d v="1899-12-30T20:52:27"/>
    <n v="2"/>
    <n v="5.79"/>
    <n v="1.35"/>
    <n v="1.1200000000000001"/>
    <x v="9"/>
  </r>
  <r>
    <d v="2022-06-05T00:00:00"/>
    <d v="1899-12-30T04:15:32"/>
    <d v="1899-12-30T20:53:27"/>
    <n v="1"/>
    <n v="10.67"/>
    <n v="5.16"/>
    <n v="2.68"/>
    <x v="9"/>
  </r>
  <r>
    <d v="2022-06-06T00:00:00"/>
    <d v="1899-12-30T04:14:56"/>
    <d v="1899-12-30T20:54:25"/>
    <n v="0"/>
    <n v="12.47"/>
    <n v="3.15"/>
    <n v="1.34"/>
    <x v="9"/>
  </r>
  <r>
    <d v="2022-06-07T00:00:00"/>
    <d v="1899-12-30T04:14:23"/>
    <d v="1899-12-30T20:55:20"/>
    <n v="0"/>
    <n v="19.79"/>
    <n v="12.84"/>
    <n v="3.5"/>
    <x v="9"/>
  </r>
  <r>
    <d v="2022-06-08T00:00:00"/>
    <d v="1899-12-30T04:13:54"/>
    <d v="1899-12-30T20:56:13"/>
    <n v="0"/>
    <n v="12.57"/>
    <n v="6.64"/>
    <n v="3.26"/>
    <x v="9"/>
  </r>
  <r>
    <d v="2022-06-09T00:00:00"/>
    <d v="1899-12-30T04:13:27"/>
    <d v="1899-12-30T20:57:03"/>
    <n v="4"/>
    <n v="4.3"/>
    <n v="2.36"/>
    <n v="3.54"/>
    <x v="9"/>
  </r>
  <r>
    <d v="2022-06-10T00:00:00"/>
    <d v="1899-12-30T04:13:03"/>
    <d v="1899-12-30T20:57:50"/>
    <n v="1"/>
    <n v="12.65"/>
    <n v="6.94"/>
    <n v="3.24"/>
    <x v="9"/>
  </r>
  <r>
    <d v="2022-06-11T00:00:00"/>
    <d v="1899-12-30T04:12:43"/>
    <d v="1899-12-30T20:58:35"/>
    <n v="1"/>
    <n v="8.86"/>
    <n v="2.94"/>
    <n v="1.68"/>
    <x v="9"/>
  </r>
  <r>
    <d v="2022-06-12T00:00:00"/>
    <d v="1899-12-30T04:12:26"/>
    <d v="1899-12-30T20:59:17"/>
    <n v="3"/>
    <n v="5.64"/>
    <n v="4.25"/>
    <n v="4.95"/>
    <x v="9"/>
  </r>
  <r>
    <d v="2022-06-13T00:00:00"/>
    <d v="1899-12-30T04:12:12"/>
    <d v="1899-12-30T20:59:56"/>
    <n v="2"/>
    <n v="6.89"/>
    <n v="3.98"/>
    <n v="2.4900000000000002"/>
    <x v="9"/>
  </r>
  <r>
    <d v="2022-06-14T00:00:00"/>
    <d v="1899-12-30T04:12:01"/>
    <d v="1899-12-30T21:00:32"/>
    <n v="0"/>
    <n v="14.03"/>
    <n v="5.68"/>
    <n v="2.95"/>
    <x v="9"/>
  </r>
  <r>
    <d v="2022-06-15T00:00:00"/>
    <d v="1899-12-30T04:11:54"/>
    <d v="1899-12-30T21:01:05"/>
    <n v="1"/>
    <n v="11.04"/>
    <n v="4.9400000000000004"/>
    <n v="3.41"/>
    <x v="9"/>
  </r>
  <r>
    <d v="2022-06-16T00:00:00"/>
    <d v="1899-12-30T04:11:49"/>
    <d v="1899-12-30T21:01:35"/>
    <n v="0"/>
    <n v="11.7"/>
    <n v="4.79"/>
    <n v="2.5099999999999998"/>
    <x v="9"/>
  </r>
  <r>
    <d v="2022-06-17T00:00:00"/>
    <d v="1899-12-30T04:11:48"/>
    <d v="1899-12-30T21:02:02"/>
    <n v="3"/>
    <n v="5.39"/>
    <n v="4.6500000000000004"/>
    <n v="4.25"/>
    <x v="9"/>
  </r>
  <r>
    <d v="2022-06-18T00:00:00"/>
    <d v="1899-12-30T04:11:50"/>
    <d v="1899-12-30T21:02:26"/>
    <n v="0"/>
    <n v="11.1"/>
    <n v="4.6399999999999997"/>
    <n v="3.54"/>
    <x v="9"/>
  </r>
  <r>
    <d v="2022-06-19T00:00:00"/>
    <d v="1899-12-30T04:11:56"/>
    <d v="1899-12-30T21:02:47"/>
    <n v="0"/>
    <n v="15.81"/>
    <n v="7.63"/>
    <n v="2.02"/>
    <x v="9"/>
  </r>
  <r>
    <d v="2022-06-20T00:00:00"/>
    <d v="1899-12-30T04:12:04"/>
    <d v="1899-12-30T21:03:04"/>
    <n v="2"/>
    <n v="8.8800000000000008"/>
    <n v="6.14"/>
    <n v="3.61"/>
    <x v="9"/>
  </r>
  <r>
    <d v="2022-06-21T00:00:00"/>
    <d v="1899-12-30T04:12:16"/>
    <d v="1899-12-30T21:03:19"/>
    <n v="0"/>
    <n v="14.44"/>
    <n v="3.61"/>
    <n v="0.56999999999999995"/>
    <x v="9"/>
  </r>
  <r>
    <d v="2022-06-22T00:00:00"/>
    <d v="1899-12-30T04:12:31"/>
    <d v="1899-12-30T21:03:30"/>
    <n v="1"/>
    <n v="9.7899999999999991"/>
    <n v="4.8"/>
    <n v="3.05"/>
    <x v="9"/>
  </r>
  <r>
    <d v="2022-06-23T00:00:00"/>
    <d v="1899-12-30T04:12:49"/>
    <d v="1899-12-30T21:03:38"/>
    <n v="0"/>
    <n v="14.78"/>
    <n v="6.76"/>
    <n v="3.64"/>
    <x v="9"/>
  </r>
  <r>
    <d v="2022-06-24T00:00:00"/>
    <d v="1899-12-30T04:13:10"/>
    <d v="1899-12-30T21:03:43"/>
    <n v="0"/>
    <n v="14.52"/>
    <n v="8.19"/>
    <n v="3.95"/>
    <x v="9"/>
  </r>
  <r>
    <d v="2022-06-25T00:00:00"/>
    <d v="1899-12-30T04:13:34"/>
    <d v="1899-12-30T21:03:44"/>
    <n v="3"/>
    <n v="5.86"/>
    <n v="4.1900000000000004"/>
    <n v="3.85"/>
    <x v="9"/>
  </r>
  <r>
    <d v="2022-06-26T00:00:00"/>
    <d v="1899-12-30T04:14:01"/>
    <d v="1899-12-30T21:03:42"/>
    <n v="1"/>
    <n v="12.81"/>
    <n v="7.18"/>
    <n v="1.54"/>
    <x v="9"/>
  </r>
  <r>
    <d v="2022-06-27T00:00:00"/>
    <d v="1899-12-30T04:14:31"/>
    <d v="1899-12-30T21:03:37"/>
    <n v="0"/>
    <n v="13.22"/>
    <n v="5.53"/>
    <n v="4.26"/>
    <x v="9"/>
  </r>
  <r>
    <d v="2022-06-28T00:00:00"/>
    <d v="1899-12-30T04:15:04"/>
    <d v="1899-12-30T21:03:29"/>
    <n v="0"/>
    <n v="14.18"/>
    <n v="6.49"/>
    <n v="3.84"/>
    <x v="9"/>
  </r>
  <r>
    <d v="2022-06-29T00:00:00"/>
    <d v="1899-12-30T04:15:40"/>
    <d v="1899-12-30T21:03:18"/>
    <n v="0"/>
    <n v="18.47"/>
    <n v="9.1999999999999993"/>
    <n v="2.4700000000000002"/>
    <x v="9"/>
  </r>
  <r>
    <d v="2022-06-30T00:00:00"/>
    <d v="1899-12-30T04:16:19"/>
    <d v="1899-12-30T21:03:03"/>
    <n v="3"/>
    <n v="6.81"/>
    <n v="2.59"/>
    <n v="1.95"/>
    <x v="9"/>
  </r>
  <r>
    <d v="2022-07-01T00:00:00"/>
    <d v="1899-12-30T04:17:00"/>
    <d v="1899-12-30T21:02:45"/>
    <n v="2"/>
    <n v="2.96"/>
    <n v="1.54"/>
    <n v="4.5199999999999996"/>
    <x v="9"/>
  </r>
  <r>
    <d v="2022-07-02T00:00:00"/>
    <d v="1899-12-30T04:17:44"/>
    <d v="1899-12-30T21:02:23"/>
    <n v="0"/>
    <n v="13.76"/>
    <n v="7.09"/>
    <n v="4.32"/>
    <x v="9"/>
  </r>
  <r>
    <d v="2022-07-03T00:00:00"/>
    <d v="1899-12-30T04:18:31"/>
    <d v="1899-12-30T21:01:59"/>
    <n v="0"/>
    <n v="17.920000000000002"/>
    <n v="10.28"/>
    <n v="2.65"/>
    <x v="9"/>
  </r>
  <r>
    <d v="2022-07-04T00:00:00"/>
    <d v="1899-12-30T04:19:21"/>
    <d v="1899-12-30T21:01:31"/>
    <n v="0"/>
    <n v="19.89"/>
    <n v="10.64"/>
    <n v="1.48"/>
    <x v="9"/>
  </r>
  <r>
    <d v="2022-07-05T00:00:00"/>
    <d v="1899-12-30T04:20:12"/>
    <d v="1899-12-30T21:01:00"/>
    <n v="0"/>
    <n v="19.149999999999999"/>
    <n v="11.79"/>
    <n v="2.95"/>
    <x v="9"/>
  </r>
  <r>
    <d v="2022-07-06T00:00:00"/>
    <d v="1899-12-30T04:21:07"/>
    <d v="1899-12-30T21:00:26"/>
    <n v="1"/>
    <n v="14.68"/>
    <n v="11.32"/>
    <n v="4.26"/>
    <x v="9"/>
  </r>
  <r>
    <d v="2022-07-07T00:00:00"/>
    <d v="1899-12-30T04:22:04"/>
    <d v="1899-12-30T20:59:49"/>
    <n v="0"/>
    <n v="16.95"/>
    <n v="9.57"/>
    <n v="3.24"/>
    <x v="9"/>
  </r>
  <r>
    <d v="2022-07-08T00:00:00"/>
    <d v="1899-12-30T04:23:03"/>
    <d v="1899-12-30T20:59:09"/>
    <n v="1"/>
    <n v="11.9"/>
    <n v="7.34"/>
    <n v="4.8099999999999996"/>
    <x v="9"/>
  </r>
  <r>
    <d v="2022-07-09T00:00:00"/>
    <d v="1899-12-30T04:24:04"/>
    <d v="1899-12-30T20:58:25"/>
    <n v="0"/>
    <n v="19.440000000000001"/>
    <n v="11.14"/>
    <n v="2.91"/>
    <x v="9"/>
  </r>
  <r>
    <d v="2022-07-10T00:00:00"/>
    <d v="1899-12-30T04:25:08"/>
    <d v="1899-12-30T20:57:39"/>
    <n v="0"/>
    <n v="19.54"/>
    <n v="12.94"/>
    <n v="3.47"/>
    <x v="9"/>
  </r>
  <r>
    <d v="2022-07-11T00:00:00"/>
    <d v="1899-12-30T04:26:13"/>
    <d v="1899-12-30T20:56:50"/>
    <n v="0"/>
    <n v="18.52"/>
    <n v="12.35"/>
    <n v="1.85"/>
    <x v="9"/>
  </r>
  <r>
    <d v="2022-07-12T00:00:00"/>
    <d v="1899-12-30T04:27:21"/>
    <d v="1899-12-30T20:55:57"/>
    <n v="0"/>
    <n v="19.77"/>
    <n v="11.78"/>
    <n v="1.95"/>
    <x v="9"/>
  </r>
  <r>
    <d v="2022-07-13T00:00:00"/>
    <d v="1899-12-30T04:28:31"/>
    <d v="1899-12-30T20:55:02"/>
    <n v="0"/>
    <n v="17.22"/>
    <n v="9.69"/>
    <n v="2.84"/>
    <x v="9"/>
  </r>
  <r>
    <d v="2022-07-14T00:00:00"/>
    <d v="1899-12-30T04:29:42"/>
    <d v="1899-12-30T20:54:04"/>
    <n v="1"/>
    <n v="14.02"/>
    <n v="8.5399999999999991"/>
    <n v="2.69"/>
    <x v="9"/>
  </r>
  <r>
    <d v="2022-07-15T00:00:00"/>
    <d v="1899-12-30T04:30:55"/>
    <d v="1899-12-30T20:53:03"/>
    <n v="1"/>
    <n v="15.96"/>
    <n v="11.95"/>
    <n v="3.05"/>
    <x v="9"/>
  </r>
  <r>
    <d v="2022-07-16T00:00:00"/>
    <d v="1899-12-30T04:32:11"/>
    <d v="1899-12-30T20:52:00"/>
    <n v="1"/>
    <n v="15.06"/>
    <n v="7.68"/>
    <n v="1.1599999999999999"/>
    <x v="9"/>
  </r>
  <r>
    <d v="2022-07-17T00:00:00"/>
    <d v="1899-12-30T04:33:27"/>
    <d v="1899-12-30T20:50:54"/>
    <n v="0"/>
    <n v="19.62"/>
    <n v="10.19"/>
    <n v="0.47"/>
    <x v="9"/>
  </r>
  <r>
    <d v="2022-07-18T00:00:00"/>
    <d v="1899-12-30T04:34:46"/>
    <d v="1899-12-30T20:49:45"/>
    <n v="0"/>
    <n v="18.97"/>
    <n v="8.85"/>
    <n v="1.66"/>
    <x v="9"/>
  </r>
  <r>
    <d v="2022-07-19T00:00:00"/>
    <d v="1899-12-30T04:36:05"/>
    <d v="1899-12-30T20:48:33"/>
    <n v="0"/>
    <n v="17.940000000000001"/>
    <n v="9.83"/>
    <n v="3.13"/>
    <x v="9"/>
  </r>
  <r>
    <d v="2022-07-20T00:00:00"/>
    <d v="1899-12-30T04:37:27"/>
    <d v="1899-12-30T20:47:19"/>
    <n v="0"/>
    <n v="17.350000000000001"/>
    <n v="11.02"/>
    <n v="2.82"/>
    <x v="9"/>
  </r>
  <r>
    <d v="2022-07-21T00:00:00"/>
    <d v="1899-12-30T04:38:49"/>
    <d v="1899-12-30T20:46:03"/>
    <n v="0"/>
    <n v="18.3"/>
    <n v="10.96"/>
    <n v="2.14"/>
    <x v="9"/>
  </r>
  <r>
    <d v="2022-07-22T00:00:00"/>
    <d v="1899-12-30T04:40:13"/>
    <d v="1899-12-30T20:44:44"/>
    <n v="0"/>
    <n v="17.04"/>
    <n v="9.85"/>
    <n v="2.2599999999999998"/>
    <x v="9"/>
  </r>
  <r>
    <d v="2022-07-23T00:00:00"/>
    <d v="1899-12-30T04:41:38"/>
    <d v="1899-12-30T20:43:23"/>
    <n v="0"/>
    <n v="18.850000000000001"/>
    <n v="11.75"/>
    <n v="2.94"/>
    <x v="9"/>
  </r>
  <r>
    <d v="2022-07-24T00:00:00"/>
    <d v="1899-12-30T04:43:05"/>
    <d v="1899-12-30T20:41:59"/>
    <n v="0"/>
    <n v="16.55"/>
    <n v="8.33"/>
    <n v="1.56"/>
    <x v="8"/>
  </r>
  <r>
    <d v="2022-07-25T00:00:00"/>
    <d v="1899-12-30T04:44:32"/>
    <d v="1899-12-30T20:40:33"/>
    <n v="1"/>
    <n v="13.83"/>
    <n v="8.1999999999999993"/>
    <n v="3.02"/>
    <x v="8"/>
  </r>
  <r>
    <d v="2022-07-26T00:00:00"/>
    <d v="1899-12-30T04:46:01"/>
    <d v="1899-12-30T20:39:05"/>
    <n v="0"/>
    <n v="16.16"/>
    <n v="8.9499999999999993"/>
    <n v="2.09"/>
    <x v="8"/>
  </r>
  <r>
    <d v="2022-07-27T00:00:00"/>
    <d v="1899-12-30T04:47:30"/>
    <d v="1899-12-30T20:37:34"/>
    <n v="0"/>
    <n v="17.82"/>
    <n v="10.94"/>
    <n v="3.66"/>
    <x v="8"/>
  </r>
  <r>
    <d v="2022-07-28T00:00:00"/>
    <d v="1899-12-30T04:49:00"/>
    <d v="1899-12-30T20:36:02"/>
    <n v="0"/>
    <n v="19.23"/>
    <n v="10.19"/>
    <n v="2.0299999999999998"/>
    <x v="8"/>
  </r>
  <r>
    <d v="2022-07-29T00:00:00"/>
    <d v="1899-12-30T04:50:32"/>
    <d v="1899-12-30T20:34:27"/>
    <n v="0"/>
    <n v="18.59"/>
    <n v="10.29"/>
    <n v="1.74"/>
    <x v="8"/>
  </r>
  <r>
    <d v="2022-07-30T00:00:00"/>
    <d v="1899-12-30T04:52:04"/>
    <d v="1899-12-30T20:32:51"/>
    <n v="1"/>
    <n v="14.2"/>
    <n v="10.59"/>
    <n v="4.04"/>
    <x v="8"/>
  </r>
  <r>
    <d v="2022-07-31T00:00:00"/>
    <d v="1899-12-30T04:53:36"/>
    <d v="1899-12-30T20:31:12"/>
    <n v="1"/>
    <n v="13.79"/>
    <n v="8.49"/>
    <n v="2.38"/>
    <x v="8"/>
  </r>
  <r>
    <d v="2022-08-01T00:00:00"/>
    <d v="1899-12-30T04:55:10"/>
    <d v="1899-12-30T20:29:32"/>
    <n v="1"/>
    <n v="15.96"/>
    <n v="9.48"/>
    <n v="1.78"/>
    <x v="8"/>
  </r>
  <r>
    <d v="2022-08-02T00:00:00"/>
    <d v="1899-12-30T04:56:44"/>
    <d v="1899-12-30T20:27:50"/>
    <n v="0"/>
    <n v="18.86"/>
    <n v="12.56"/>
    <n v="4.93"/>
    <x v="8"/>
  </r>
  <r>
    <d v="2022-08-03T00:00:00"/>
    <d v="1899-12-30T04:58:19"/>
    <d v="1899-12-30T20:26:06"/>
    <n v="0"/>
    <n v="18.12"/>
    <n v="9.15"/>
    <n v="2.87"/>
    <x v="8"/>
  </r>
  <r>
    <d v="2022-08-04T00:00:00"/>
    <d v="1899-12-30T04:59:54"/>
    <d v="1899-12-30T20:24:20"/>
    <n v="0"/>
    <n v="19.88"/>
    <n v="10.14"/>
    <n v="1.94"/>
    <x v="8"/>
  </r>
  <r>
    <d v="2022-08-05T00:00:00"/>
    <d v="1899-12-30T05:01:30"/>
    <d v="1899-12-30T20:22:32"/>
    <n v="1"/>
    <n v="12.71"/>
    <n v="8.08"/>
    <n v="2.89"/>
    <x v="8"/>
  </r>
  <r>
    <d v="2022-08-06T00:00:00"/>
    <d v="1899-12-30T05:03:06"/>
    <d v="1899-12-30T20:20:43"/>
    <n v="1"/>
    <n v="11.46"/>
    <n v="7.01"/>
    <n v="2.95"/>
    <x v="8"/>
  </r>
  <r>
    <d v="2022-08-07T00:00:00"/>
    <d v="1899-12-30T05:04:42"/>
    <d v="1899-12-30T20:18:53"/>
    <n v="0"/>
    <n v="18.38"/>
    <n v="11.16"/>
    <n v="3.69"/>
    <x v="8"/>
  </r>
  <r>
    <d v="2022-08-08T00:00:00"/>
    <d v="1899-12-30T05:06:19"/>
    <d v="1899-12-30T20:17:00"/>
    <n v="0"/>
    <n v="15.21"/>
    <n v="6.71"/>
    <n v="3.21"/>
    <x v="8"/>
  </r>
  <r>
    <d v="2022-08-09T00:00:00"/>
    <d v="1899-12-30T05:07:56"/>
    <d v="1899-12-30T20:15:06"/>
    <n v="0"/>
    <n v="19.329999999999998"/>
    <n v="10.19"/>
    <n v="1.54"/>
    <x v="8"/>
  </r>
  <r>
    <d v="2022-08-10T00:00:00"/>
    <d v="1899-12-30T05:09:34"/>
    <d v="1899-12-30T20:13:11"/>
    <n v="0"/>
    <n v="19.829999999999998"/>
    <n v="12.94"/>
    <n v="3.94"/>
    <x v="8"/>
  </r>
  <r>
    <d v="2022-08-11T00:00:00"/>
    <d v="1899-12-30T05:11:12"/>
    <d v="1899-12-30T20:11:15"/>
    <n v="0"/>
    <n v="15.68"/>
    <n v="6.85"/>
    <n v="2.4900000000000002"/>
    <x v="8"/>
  </r>
  <r>
    <d v="2022-08-12T00:00:00"/>
    <d v="1899-12-30T05:12:50"/>
    <d v="1899-12-30T20:09:17"/>
    <n v="1"/>
    <n v="10.43"/>
    <n v="5.19"/>
    <n v="2.76"/>
    <x v="7"/>
  </r>
  <r>
    <d v="2022-08-13T00:00:00"/>
    <d v="1899-12-30T05:14:28"/>
    <d v="1899-12-30T20:07:17"/>
    <n v="0"/>
    <n v="17.89"/>
    <n v="7.23"/>
    <n v="0.49"/>
    <x v="7"/>
  </r>
  <r>
    <d v="2022-08-14T00:00:00"/>
    <d v="1899-12-30T05:16:07"/>
    <d v="1899-12-30T20:05:17"/>
    <n v="0"/>
    <n v="17.03"/>
    <n v="9.32"/>
    <n v="3.67"/>
    <x v="7"/>
  </r>
  <r>
    <d v="2022-08-15T00:00:00"/>
    <d v="1899-12-30T05:17:45"/>
    <d v="1899-12-30T20:03:15"/>
    <n v="0"/>
    <n v="19.920000000000002"/>
    <n v="12.25"/>
    <n v="1.77"/>
    <x v="7"/>
  </r>
  <r>
    <d v="2022-08-16T00:00:00"/>
    <d v="1899-12-30T05:19:24"/>
    <d v="1899-12-30T20:01:12"/>
    <n v="0"/>
    <n v="16.059999999999999"/>
    <n v="7.46"/>
    <n v="2.1800000000000002"/>
    <x v="7"/>
  </r>
  <r>
    <d v="2022-08-17T00:00:00"/>
    <d v="1899-12-30T05:21:03"/>
    <d v="1899-12-30T19:59:08"/>
    <n v="0"/>
    <n v="18.84"/>
    <n v="10.64"/>
    <n v="3.51"/>
    <x v="7"/>
  </r>
  <r>
    <d v="2022-08-18T00:00:00"/>
    <d v="1899-12-30T05:22:42"/>
    <d v="1899-12-30T19:57:02"/>
    <n v="0"/>
    <n v="18.97"/>
    <n v="10.97"/>
    <n v="3.09"/>
    <x v="7"/>
  </r>
  <r>
    <d v="2022-08-19T00:00:00"/>
    <d v="1899-12-30T05:24:21"/>
    <d v="1899-12-30T19:54:56"/>
    <n v="1"/>
    <n v="11.99"/>
    <n v="7.68"/>
    <n v="3.68"/>
    <x v="7"/>
  </r>
  <r>
    <d v="2022-08-20T00:00:00"/>
    <d v="1899-12-30T05:26:00"/>
    <d v="1899-12-30T19:52:49"/>
    <n v="0"/>
    <n v="19.649999999999999"/>
    <n v="11.94"/>
    <n v="3.66"/>
    <x v="7"/>
  </r>
  <r>
    <d v="2022-08-21T00:00:00"/>
    <d v="1899-12-30T05:27:39"/>
    <d v="1899-12-30T19:50:40"/>
    <n v="1"/>
    <n v="13.19"/>
    <n v="8.34"/>
    <n v="2.4"/>
    <x v="7"/>
  </r>
  <r>
    <d v="2022-08-22T00:00:00"/>
    <d v="1899-12-30T05:29:18"/>
    <d v="1899-12-30T19:48:31"/>
    <n v="1"/>
    <n v="14.17"/>
    <n v="9.9700000000000006"/>
    <n v="3.16"/>
    <x v="7"/>
  </r>
  <r>
    <d v="2022-08-23T00:00:00"/>
    <d v="1899-12-30T05:30:57"/>
    <d v="1899-12-30T19:46:21"/>
    <n v="1"/>
    <n v="12.08"/>
    <n v="6.96"/>
    <n v="2.23"/>
    <x v="7"/>
  </r>
  <r>
    <d v="2022-08-24T00:00:00"/>
    <d v="1899-12-30T05:32:36"/>
    <d v="1899-12-30T19:44:10"/>
    <n v="0"/>
    <n v="18.739999999999998"/>
    <n v="10.34"/>
    <n v="2.92"/>
    <x v="7"/>
  </r>
  <r>
    <d v="2022-08-25T00:00:00"/>
    <d v="1899-12-30T05:34:15"/>
    <d v="1899-12-30T19:41:58"/>
    <n v="0"/>
    <n v="17.95"/>
    <n v="8.23"/>
    <n v="0.78"/>
    <x v="7"/>
  </r>
  <r>
    <d v="2022-08-26T00:00:00"/>
    <d v="1899-12-30T05:35:54"/>
    <d v="1899-12-30T19:39:45"/>
    <n v="0"/>
    <n v="16.829999999999998"/>
    <n v="8.83"/>
    <n v="3.07"/>
    <x v="7"/>
  </r>
  <r>
    <d v="2022-08-27T00:00:00"/>
    <d v="1899-12-30T05:37:33"/>
    <d v="1899-12-30T19:37:32"/>
    <n v="0"/>
    <n v="17.09"/>
    <n v="8.6300000000000008"/>
    <n v="0.64"/>
    <x v="6"/>
  </r>
  <r>
    <d v="2022-08-28T00:00:00"/>
    <d v="1899-12-30T05:39:12"/>
    <d v="1899-12-30T19:35:18"/>
    <n v="0"/>
    <n v="18.010000000000002"/>
    <n v="10.67"/>
    <n v="2.95"/>
    <x v="6"/>
  </r>
  <r>
    <d v="2022-08-29T00:00:00"/>
    <d v="1899-12-30T05:40:51"/>
    <d v="1899-12-30T19:33:03"/>
    <n v="0"/>
    <n v="19.48"/>
    <n v="12.16"/>
    <n v="3.2"/>
    <x v="6"/>
  </r>
  <r>
    <d v="2022-08-30T00:00:00"/>
    <d v="1899-12-30T05:42:30"/>
    <d v="1899-12-30T19:30:47"/>
    <n v="0"/>
    <n v="18.11"/>
    <n v="11.38"/>
    <n v="2.91"/>
    <x v="6"/>
  </r>
  <r>
    <d v="2022-08-31T00:00:00"/>
    <d v="1899-12-30T05:44:09"/>
    <d v="1899-12-30T19:28:31"/>
    <n v="0"/>
    <n v="17.559999999999999"/>
    <n v="9.49"/>
    <n v="0.94"/>
    <x v="6"/>
  </r>
  <r>
    <d v="2022-09-01T00:00:00"/>
    <d v="1899-12-30T05:45:48"/>
    <d v="1899-12-30T19:26:15"/>
    <n v="0"/>
    <n v="16.809999999999999"/>
    <n v="9.4600000000000009"/>
    <n v="2.19"/>
    <x v="6"/>
  </r>
  <r>
    <d v="2022-09-02T00:00:00"/>
    <d v="1899-12-30T05:47:26"/>
    <d v="1899-12-30T19:23:57"/>
    <n v="0"/>
    <n v="15.05"/>
    <n v="9.31"/>
    <n v="3.95"/>
    <x v="6"/>
  </r>
  <r>
    <d v="2022-09-03T00:00:00"/>
    <d v="1899-12-30T05:49:05"/>
    <d v="1899-12-30T19:21:40"/>
    <n v="0"/>
    <n v="14.3"/>
    <n v="8.69"/>
    <n v="4.6900000000000004"/>
    <x v="6"/>
  </r>
  <r>
    <d v="2022-09-04T00:00:00"/>
    <d v="1899-12-30T05:50:44"/>
    <d v="1899-12-30T19:19:21"/>
    <n v="0"/>
    <n v="19.399999999999999"/>
    <n v="10.84"/>
    <n v="0.84"/>
    <x v="6"/>
  </r>
  <r>
    <d v="2022-09-05T00:00:00"/>
    <d v="1899-12-30T05:52:22"/>
    <d v="1899-12-30T19:17:03"/>
    <n v="1"/>
    <n v="14.15"/>
    <n v="8.94"/>
    <n v="3.18"/>
    <x v="6"/>
  </r>
  <r>
    <d v="2022-09-06T00:00:00"/>
    <d v="1899-12-30T05:54:01"/>
    <d v="1899-12-30T19:14:44"/>
    <n v="2"/>
    <n v="10.199999999999999"/>
    <n v="6.94"/>
    <n v="1.89"/>
    <x v="6"/>
  </r>
  <r>
    <d v="2022-09-07T00:00:00"/>
    <d v="1899-12-30T05:55:40"/>
    <d v="1899-12-30T19:12:24"/>
    <n v="0"/>
    <n v="19.149999999999999"/>
    <n v="12.22"/>
    <n v="2.98"/>
    <x v="6"/>
  </r>
  <r>
    <d v="2022-09-08T00:00:00"/>
    <d v="1899-12-30T05:57:18"/>
    <d v="1899-12-30T19:10:04"/>
    <n v="0"/>
    <n v="16.739999999999998"/>
    <n v="9.15"/>
    <n v="3.48"/>
    <x v="6"/>
  </r>
  <r>
    <d v="2022-09-09T00:00:00"/>
    <d v="1899-12-30T05:58:57"/>
    <d v="1899-12-30T19:07:44"/>
    <n v="1"/>
    <n v="12.97"/>
    <n v="7.63"/>
    <n v="2.59"/>
    <x v="6"/>
  </r>
  <r>
    <d v="2022-09-10T00:00:00"/>
    <d v="1899-12-30T06:00:36"/>
    <d v="1899-12-30T19:05:24"/>
    <n v="0"/>
    <n v="19.690000000000001"/>
    <n v="11.67"/>
    <n v="1.86"/>
    <x v="6"/>
  </r>
  <r>
    <d v="2022-09-11T00:00:00"/>
    <d v="1899-12-30T06:02:14"/>
    <d v="1899-12-30T19:03:03"/>
    <n v="1"/>
    <n v="15.77"/>
    <n v="9.66"/>
    <n v="0.95"/>
    <x v="6"/>
  </r>
  <r>
    <d v="2022-09-12T00:00:00"/>
    <d v="1899-12-30T06:03:53"/>
    <d v="1899-12-30T19:00:42"/>
    <n v="1"/>
    <n v="13.48"/>
    <n v="8.56"/>
    <n v="2.94"/>
    <x v="5"/>
  </r>
  <r>
    <d v="2022-09-13T00:00:00"/>
    <d v="1899-12-30T06:05:31"/>
    <d v="1899-12-30T18:58:21"/>
    <n v="1"/>
    <n v="14.44"/>
    <n v="9.48"/>
    <n v="2.84"/>
    <x v="5"/>
  </r>
  <r>
    <d v="2022-09-14T00:00:00"/>
    <d v="1899-12-30T06:07:10"/>
    <d v="1899-12-30T18:55:59"/>
    <n v="0"/>
    <n v="15.61"/>
    <n v="8.7799999999999994"/>
    <n v="4.95"/>
    <x v="5"/>
  </r>
  <r>
    <d v="2022-09-15T00:00:00"/>
    <d v="1899-12-30T06:08:49"/>
    <d v="1899-12-30T18:53:38"/>
    <n v="0"/>
    <n v="18"/>
    <n v="9.9700000000000006"/>
    <n v="3.65"/>
    <x v="5"/>
  </r>
  <r>
    <d v="2022-09-16T00:00:00"/>
    <d v="1899-12-30T06:10:27"/>
    <d v="1899-12-30T18:51:16"/>
    <n v="3"/>
    <n v="9.7799999999999994"/>
    <n v="6.88"/>
    <n v="4.9800000000000004"/>
    <x v="5"/>
  </r>
  <r>
    <d v="2022-09-17T00:00:00"/>
    <d v="1899-12-30T06:12:06"/>
    <d v="1899-12-30T18:48:55"/>
    <n v="1"/>
    <n v="13.43"/>
    <n v="8.9700000000000006"/>
    <n v="3.24"/>
    <x v="5"/>
  </r>
  <r>
    <d v="2022-09-18T00:00:00"/>
    <d v="1899-12-30T06:13:45"/>
    <d v="1899-12-30T18:46:33"/>
    <n v="1"/>
    <n v="12.57"/>
    <n v="8.44"/>
    <n v="3.16"/>
    <x v="5"/>
  </r>
  <r>
    <d v="2022-09-19T00:00:00"/>
    <d v="1899-12-30T06:15:24"/>
    <d v="1899-12-30T18:44:11"/>
    <n v="2"/>
    <n v="10.44"/>
    <n v="7.84"/>
    <n v="2.48"/>
    <x v="5"/>
  </r>
  <r>
    <d v="2022-09-20T00:00:00"/>
    <d v="1899-12-30T06:17:03"/>
    <d v="1899-12-30T18:41:49"/>
    <n v="0"/>
    <n v="14.53"/>
    <n v="5.65"/>
    <n v="2.94"/>
    <x v="5"/>
  </r>
  <r>
    <d v="2022-09-21T00:00:00"/>
    <d v="1899-12-30T06:18:42"/>
    <d v="1899-12-30T18:39:28"/>
    <n v="0"/>
    <n v="14.84"/>
    <n v="5.95"/>
    <n v="1.9"/>
    <x v="5"/>
  </r>
  <r>
    <d v="2022-09-22T00:00:00"/>
    <d v="1899-12-30T06:20:22"/>
    <d v="1899-12-30T18:37:06"/>
    <n v="0"/>
    <n v="16.510000000000002"/>
    <n v="7.84"/>
    <n v="0.84"/>
    <x v="5"/>
  </r>
  <r>
    <d v="2022-09-23T00:00:00"/>
    <d v="1899-12-30T06:22:01"/>
    <d v="1899-12-30T18:34:44"/>
    <n v="0"/>
    <n v="12.03"/>
    <n v="6.37"/>
    <n v="5.4"/>
    <x v="5"/>
  </r>
  <r>
    <d v="2022-09-24T00:00:00"/>
    <d v="1899-12-30T06:23:40"/>
    <d v="1899-12-30T18:32:23"/>
    <n v="0"/>
    <n v="15.85"/>
    <n v="6.64"/>
    <n v="2.69"/>
    <x v="5"/>
  </r>
  <r>
    <d v="2022-09-25T00:00:00"/>
    <d v="1899-12-30T06:25:20"/>
    <d v="1899-12-30T18:30:01"/>
    <n v="0"/>
    <n v="18.45"/>
    <n v="8.5399999999999991"/>
    <n v="1.02"/>
    <x v="5"/>
  </r>
  <r>
    <d v="2022-09-26T00:00:00"/>
    <d v="1899-12-30T06:27:00"/>
    <d v="1899-12-30T18:27:40"/>
    <n v="1"/>
    <n v="11.93"/>
    <n v="7.93"/>
    <n v="3.04"/>
    <x v="5"/>
  </r>
  <r>
    <d v="2022-09-27T00:00:00"/>
    <d v="1899-12-30T06:28:40"/>
    <d v="1899-12-30T18:25:19"/>
    <n v="0"/>
    <n v="13.34"/>
    <n v="8.39"/>
    <n v="2.84"/>
    <x v="4"/>
  </r>
  <r>
    <d v="2022-09-28T00:00:00"/>
    <d v="1899-12-30T06:30:20"/>
    <d v="1899-12-30T18:22:59"/>
    <n v="0"/>
    <n v="13.66"/>
    <n v="7.55"/>
    <n v="2.14"/>
    <x v="4"/>
  </r>
  <r>
    <d v="2022-09-29T00:00:00"/>
    <d v="1899-12-30T06:32:01"/>
    <d v="1899-12-30T18:20:38"/>
    <n v="2"/>
    <n v="9.33"/>
    <n v="5.86"/>
    <n v="2.19"/>
    <x v="4"/>
  </r>
  <r>
    <d v="2022-09-30T00:00:00"/>
    <d v="1899-12-30T06:33:41"/>
    <d v="1899-12-30T18:18:18"/>
    <n v="0"/>
    <n v="12.98"/>
    <n v="6.32"/>
    <n v="3.02"/>
    <x v="4"/>
  </r>
  <r>
    <d v="2022-10-01T00:00:00"/>
    <d v="1899-12-30T06:35:22"/>
    <d v="1899-12-30T18:15:58"/>
    <n v="3"/>
    <n v="6.6"/>
    <n v="5.68"/>
    <n v="4.16"/>
    <x v="4"/>
  </r>
  <r>
    <d v="2022-10-02T00:00:00"/>
    <d v="1899-12-30T06:37:03"/>
    <d v="1899-12-30T18:13:39"/>
    <n v="2"/>
    <n v="8.07"/>
    <n v="6.79"/>
    <n v="5.03"/>
    <x v="4"/>
  </r>
  <r>
    <d v="2022-10-03T00:00:00"/>
    <d v="1899-12-30T06:38:44"/>
    <d v="1899-12-30T18:11:20"/>
    <n v="4"/>
    <n v="4.42"/>
    <n v="3.32"/>
    <n v="3.56"/>
    <x v="4"/>
  </r>
  <r>
    <d v="2022-10-04T00:00:00"/>
    <d v="1899-12-30T06:40:26"/>
    <d v="1899-12-30T18:09:01"/>
    <n v="4"/>
    <n v="4.3899999999999997"/>
    <n v="1.26"/>
    <n v="1.19"/>
    <x v="4"/>
  </r>
  <r>
    <d v="2022-10-05T00:00:00"/>
    <d v="1899-12-30T06:42:08"/>
    <d v="1899-12-30T18:06:43"/>
    <n v="4"/>
    <n v="5.07"/>
    <n v="2.68"/>
    <n v="2.14"/>
    <x v="4"/>
  </r>
  <r>
    <d v="2022-10-06T00:00:00"/>
    <d v="1899-12-30T06:43:50"/>
    <d v="1899-12-30T18:04:25"/>
    <n v="4"/>
    <n v="5.66"/>
    <n v="3.96"/>
    <n v="2.1800000000000002"/>
    <x v="4"/>
  </r>
  <r>
    <d v="2022-10-07T00:00:00"/>
    <d v="1899-12-30T06:45:32"/>
    <d v="1899-12-30T18:02:08"/>
    <n v="4"/>
    <n v="5.19"/>
    <n v="3.12"/>
    <n v="4.0599999999999996"/>
    <x v="4"/>
  </r>
  <r>
    <d v="2022-10-08T00:00:00"/>
    <d v="1899-12-30T06:47:15"/>
    <d v="1899-12-30T17:59:51"/>
    <n v="7"/>
    <n v="3.5"/>
    <n v="1.65"/>
    <n v="4.26"/>
    <x v="4"/>
  </r>
  <r>
    <d v="2022-10-09T00:00:00"/>
    <d v="1899-12-30T06:48:57"/>
    <d v="1899-12-30T17:57:35"/>
    <n v="1"/>
    <n v="9.49"/>
    <n v="4.95"/>
    <n v="2.89"/>
    <x v="4"/>
  </r>
  <r>
    <d v="2022-10-10T00:00:00"/>
    <d v="1899-12-30T06:50:41"/>
    <d v="1899-12-30T17:55:20"/>
    <n v="3"/>
    <n v="6.48"/>
    <n v="4.8499999999999996"/>
    <n v="3.41"/>
    <x v="4"/>
  </r>
  <r>
    <d v="2022-10-11T00:00:00"/>
    <d v="1899-12-30T06:52:24"/>
    <d v="1899-12-30T17:53:05"/>
    <n v="3"/>
    <n v="5.86"/>
    <n v="4.97"/>
    <n v="4.0199999999999996"/>
    <x v="4"/>
  </r>
  <r>
    <d v="2022-10-12T00:00:00"/>
    <d v="1899-12-30T06:54:08"/>
    <d v="1899-12-30T17:50:51"/>
    <n v="3"/>
    <n v="5.92"/>
    <n v="4.3600000000000003"/>
    <n v="2.68"/>
    <x v="3"/>
  </r>
  <r>
    <d v="2022-10-13T00:00:00"/>
    <d v="1899-12-30T06:55:52"/>
    <d v="1899-12-30T17:48:37"/>
    <n v="5"/>
    <n v="3.69"/>
    <n v="1.58"/>
    <n v="2.4300000000000002"/>
    <x v="3"/>
  </r>
  <r>
    <d v="2022-10-14T00:00:00"/>
    <d v="1899-12-30T06:57:36"/>
    <d v="1899-12-30T17:46:25"/>
    <n v="1"/>
    <n v="8.8800000000000008"/>
    <n v="3.95"/>
    <n v="2.44"/>
    <x v="3"/>
  </r>
  <r>
    <d v="2022-10-15T00:00:00"/>
    <d v="1899-12-30T06:59:21"/>
    <d v="1899-12-30T17:44:13"/>
    <n v="1"/>
    <n v="8.56"/>
    <n v="2.86"/>
    <n v="1.61"/>
    <x v="3"/>
  </r>
  <r>
    <d v="2022-10-16T00:00:00"/>
    <d v="1899-12-30T07:01:06"/>
    <d v="1899-12-30T17:42:02"/>
    <n v="0"/>
    <n v="14.7"/>
    <n v="5.42"/>
    <n v="2.48"/>
    <x v="3"/>
  </r>
  <r>
    <d v="2022-10-17T00:00:00"/>
    <d v="1899-12-30T07:02:51"/>
    <d v="1899-12-30T17:39:52"/>
    <n v="1"/>
    <n v="11.59"/>
    <n v="6.72"/>
    <n v="2.4700000000000002"/>
    <x v="3"/>
  </r>
  <r>
    <d v="2022-10-18T00:00:00"/>
    <d v="1899-12-30T07:04:36"/>
    <d v="1899-12-30T17:37:42"/>
    <n v="6"/>
    <n v="3.26"/>
    <n v="1.96"/>
    <n v="3.14"/>
    <x v="3"/>
  </r>
  <r>
    <d v="2022-10-19T00:00:00"/>
    <d v="1899-12-30T07:06:22"/>
    <d v="1899-12-30T17:35:34"/>
    <n v="4"/>
    <n v="4.9000000000000004"/>
    <n v="1.87"/>
    <n v="3.61"/>
    <x v="3"/>
  </r>
  <r>
    <d v="2022-10-20T00:00:00"/>
    <d v="1899-12-30T07:08:08"/>
    <d v="1899-12-30T17:33:27"/>
    <n v="1"/>
    <n v="9.3800000000000008"/>
    <n v="5.46"/>
    <n v="3.45"/>
    <x v="3"/>
  </r>
  <r>
    <d v="2022-10-21T00:00:00"/>
    <d v="1899-12-30T07:09:55"/>
    <d v="1899-12-30T17:31:20"/>
    <n v="3"/>
    <n v="5.29"/>
    <n v="3.94"/>
    <n v="3.48"/>
    <x v="3"/>
  </r>
  <r>
    <d v="2022-10-22T00:00:00"/>
    <d v="1899-12-30T07:11:41"/>
    <d v="1899-12-30T17:29:15"/>
    <n v="0"/>
    <n v="13.23"/>
    <n v="6.74"/>
    <n v="2.69"/>
    <x v="3"/>
  </r>
  <r>
    <d v="2022-10-23T00:00:00"/>
    <d v="1899-12-30T07:13:28"/>
    <d v="1899-12-30T17:27:11"/>
    <n v="7"/>
    <n v="3.97"/>
    <n v="1.64"/>
    <n v="4.84"/>
    <x v="3"/>
  </r>
  <r>
    <d v="2022-10-24T00:00:00"/>
    <d v="1899-12-30T07:15:15"/>
    <d v="1899-12-30T17:25:08"/>
    <n v="0"/>
    <n v="12.38"/>
    <n v="6.35"/>
    <n v="3.66"/>
    <x v="3"/>
  </r>
  <r>
    <d v="2022-10-25T00:00:00"/>
    <d v="1899-12-30T07:17:02"/>
    <d v="1899-12-30T17:23:06"/>
    <n v="4"/>
    <n v="4.58"/>
    <n v="2.5299999999999998"/>
    <n v="4.57"/>
    <x v="3"/>
  </r>
  <r>
    <d v="2022-10-26T00:00:00"/>
    <d v="1899-12-30T07:18:50"/>
    <d v="1899-12-30T17:21:06"/>
    <n v="6"/>
    <n v="2.06"/>
    <n v="1.06"/>
    <n v="3.84"/>
    <x v="3"/>
  </r>
  <r>
    <d v="2022-10-27T00:00:00"/>
    <d v="1899-12-30T07:20:38"/>
    <d v="1899-12-30T17:19:06"/>
    <n v="1"/>
    <n v="8.7799999999999994"/>
    <n v="2.09"/>
    <n v="1.58"/>
    <x v="2"/>
  </r>
  <r>
    <d v="2022-10-28T00:00:00"/>
    <d v="1899-12-30T07:22:26"/>
    <d v="1899-12-30T17:17:08"/>
    <n v="1"/>
    <n v="8.06"/>
    <n v="1.98"/>
    <n v="1.08"/>
    <x v="2"/>
  </r>
  <r>
    <d v="2022-10-29T00:00:00"/>
    <d v="1899-12-30T07:24:14"/>
    <d v="1899-12-30T17:15:12"/>
    <n v="4"/>
    <n v="4.7300000000000004"/>
    <n v="3.79"/>
    <n v="3.08"/>
    <x v="2"/>
  </r>
  <r>
    <d v="2022-10-30T00:00:00"/>
    <d v="1899-12-30T06:26:02"/>
    <d v="1899-12-30T16:13:16"/>
    <n v="3"/>
    <n v="5.33"/>
    <n v="2.98"/>
    <n v="3.05"/>
    <x v="2"/>
  </r>
  <r>
    <d v="2022-10-31T00:00:00"/>
    <d v="1899-12-30T06:27:50"/>
    <d v="1899-12-30T16:11:23"/>
    <n v="6"/>
    <n v="2.13"/>
    <n v="1.67"/>
    <n v="4.21"/>
    <x v="2"/>
  </r>
  <r>
    <d v="2022-11-01T00:00:00"/>
    <d v="1899-12-30T06:29:38"/>
    <d v="1899-12-30T16:09:31"/>
    <n v="8"/>
    <n v="1.23"/>
    <n v="0.56999999999999995"/>
    <n v="5.08"/>
    <x v="2"/>
  </r>
  <r>
    <d v="2022-11-02T00:00:00"/>
    <d v="1899-12-30T06:31:27"/>
    <d v="1899-12-30T16:07:40"/>
    <n v="3"/>
    <n v="5.84"/>
    <n v="4.32"/>
    <n v="2.95"/>
    <x v="2"/>
  </r>
  <r>
    <d v="2022-11-03T00:00:00"/>
    <d v="1899-12-30T06:33:15"/>
    <d v="1899-12-30T16:05:51"/>
    <n v="3"/>
    <n v="4.55"/>
    <n v="3.94"/>
    <n v="6.57"/>
    <x v="2"/>
  </r>
  <r>
    <d v="2022-11-04T00:00:00"/>
    <d v="1899-12-30T06:35:03"/>
    <d v="1899-12-30T16:04:03"/>
    <n v="3"/>
    <n v="4.7"/>
    <n v="3.64"/>
    <n v="4.21"/>
    <x v="2"/>
  </r>
  <r>
    <d v="2022-11-05T00:00:00"/>
    <d v="1899-12-30T06:36:52"/>
    <d v="1899-12-30T16:02:18"/>
    <n v="2"/>
    <n v="5.19"/>
    <n v="3.65"/>
    <n v="5.32"/>
    <x v="2"/>
  </r>
  <r>
    <d v="2022-11-06T00:00:00"/>
    <d v="1899-12-30T06:38:40"/>
    <d v="1899-12-30T16:00:34"/>
    <n v="1"/>
    <n v="7.75"/>
    <n v="3.84"/>
    <n v="3.65"/>
    <x v="2"/>
  </r>
  <r>
    <d v="2022-11-07T00:00:00"/>
    <d v="1899-12-30T06:40:28"/>
    <d v="1899-12-30T15:58:52"/>
    <n v="4"/>
    <n v="4.07"/>
    <n v="3.21"/>
    <n v="3.48"/>
    <x v="2"/>
  </r>
  <r>
    <d v="2022-11-08T00:00:00"/>
    <d v="1899-12-30T06:42:16"/>
    <d v="1899-12-30T15:57:11"/>
    <n v="3"/>
    <n v="5.63"/>
    <n v="4.2300000000000004"/>
    <n v="4.6100000000000003"/>
    <x v="2"/>
  </r>
  <r>
    <d v="2022-11-09T00:00:00"/>
    <d v="1899-12-30T06:44:03"/>
    <d v="1899-12-30T15:55:33"/>
    <n v="6"/>
    <n v="3.14"/>
    <n v="1.65"/>
    <n v="2.96"/>
    <x v="2"/>
  </r>
  <r>
    <d v="2022-11-10T00:00:00"/>
    <d v="1899-12-30T06:45:51"/>
    <d v="1899-12-30T15:53:57"/>
    <n v="0"/>
    <n v="11.93"/>
    <n v="6.46"/>
    <n v="4.0599999999999996"/>
    <x v="2"/>
  </r>
  <r>
    <d v="2022-11-11T00:00:00"/>
    <d v="1899-12-30T06:47:38"/>
    <d v="1899-12-30T15:52:22"/>
    <n v="4"/>
    <n v="5.15"/>
    <n v="2.4900000000000002"/>
    <n v="3.84"/>
    <x v="2"/>
  </r>
  <r>
    <d v="2022-11-12T00:00:00"/>
    <d v="1899-12-30T06:49:24"/>
    <d v="1899-12-30T15:50:50"/>
    <n v="3"/>
    <n v="4.75"/>
    <n v="3.49"/>
    <n v="5.09"/>
    <x v="2"/>
  </r>
  <r>
    <d v="2022-11-13T00:00:00"/>
    <d v="1899-12-30T06:51:11"/>
    <d v="1899-12-30T15:49:20"/>
    <n v="3"/>
    <n v="4.16"/>
    <n v="3.02"/>
    <n v="4.1900000000000004"/>
    <x v="1"/>
  </r>
  <r>
    <d v="2022-11-14T00:00:00"/>
    <d v="1899-12-30T06:52:56"/>
    <d v="1899-12-30T15:47:52"/>
    <n v="2"/>
    <n v="5.19"/>
    <n v="2.94"/>
    <n v="4.9400000000000004"/>
    <x v="1"/>
  </r>
  <r>
    <d v="2022-11-15T00:00:00"/>
    <d v="1899-12-30T06:54:41"/>
    <d v="1899-12-30T15:46:27"/>
    <n v="8"/>
    <n v="1.38"/>
    <n v="0.4"/>
    <n v="6.48"/>
    <x v="1"/>
  </r>
  <r>
    <d v="2022-11-16T00:00:00"/>
    <d v="1899-12-30T06:56:26"/>
    <d v="1899-12-30T15:45:03"/>
    <n v="8"/>
    <n v="1.53"/>
    <n v="0.23"/>
    <n v="3.95"/>
    <x v="1"/>
  </r>
  <r>
    <d v="2022-11-17T00:00:00"/>
    <d v="1899-12-30T06:58:09"/>
    <d v="1899-12-30T15:43:42"/>
    <n v="2"/>
    <n v="4.1900000000000004"/>
    <n v="1.92"/>
    <n v="3.24"/>
    <x v="1"/>
  </r>
  <r>
    <d v="2022-11-18T00:00:00"/>
    <d v="1899-12-30T06:59:52"/>
    <d v="1899-12-30T15:42:24"/>
    <n v="5"/>
    <n v="3.63"/>
    <n v="1.48"/>
    <n v="2.96"/>
    <x v="1"/>
  </r>
  <r>
    <d v="2022-11-19T00:00:00"/>
    <d v="1899-12-30T07:01:35"/>
    <d v="1899-12-30T15:41:08"/>
    <n v="5"/>
    <n v="3.6"/>
    <n v="2.06"/>
    <n v="2.72"/>
    <x v="1"/>
  </r>
  <r>
    <d v="2022-11-20T00:00:00"/>
    <d v="1899-12-30T07:03:16"/>
    <d v="1899-12-30T15:39:54"/>
    <n v="2"/>
    <n v="6.14"/>
    <n v="5.07"/>
    <n v="3.94"/>
    <x v="1"/>
  </r>
  <r>
    <d v="2022-11-21T00:00:00"/>
    <d v="1899-12-30T07:04:56"/>
    <d v="1899-12-30T15:38:43"/>
    <n v="5"/>
    <n v="3.16"/>
    <n v="2.11"/>
    <n v="4.08"/>
    <x v="1"/>
  </r>
  <r>
    <d v="2022-11-22T00:00:00"/>
    <d v="1899-12-30T07:06:35"/>
    <d v="1899-12-30T15:37:35"/>
    <n v="4"/>
    <n v="4.0999999999999996"/>
    <n v="3.41"/>
    <n v="4.6100000000000003"/>
    <x v="1"/>
  </r>
  <r>
    <d v="2022-11-23T00:00:00"/>
    <d v="1899-12-30T07:08:13"/>
    <d v="1899-12-30T15:36:30"/>
    <n v="7"/>
    <n v="2.91"/>
    <n v="1.06"/>
    <n v="5.07"/>
    <x v="1"/>
  </r>
  <r>
    <d v="2022-11-24T00:00:00"/>
    <d v="1899-12-30T07:09:50"/>
    <d v="1899-12-30T15:35:27"/>
    <n v="6"/>
    <n v="3.18"/>
    <n v="1.37"/>
    <n v="4.16"/>
    <x v="1"/>
  </r>
  <r>
    <d v="2022-11-25T00:00:00"/>
    <d v="1899-12-30T07:11:26"/>
    <d v="1899-12-30T15:34:27"/>
    <n v="7"/>
    <n v="2.52"/>
    <n v="1.46"/>
    <n v="5.24"/>
    <x v="1"/>
  </r>
  <r>
    <d v="2022-11-26T00:00:00"/>
    <d v="1899-12-30T07:13:00"/>
    <d v="1899-12-30T15:33:30"/>
    <n v="6"/>
    <n v="3.85"/>
    <n v="1.1599999999999999"/>
    <n v="6.08"/>
    <x v="1"/>
  </r>
  <r>
    <d v="2022-11-27T00:00:00"/>
    <d v="1899-12-30T07:14:33"/>
    <d v="1899-12-30T15:32:36"/>
    <n v="8"/>
    <n v="1.84"/>
    <n v="0.47"/>
    <n v="4.66"/>
    <x v="1"/>
  </r>
  <r>
    <d v="2022-11-28T00:00:00"/>
    <d v="1899-12-30T07:16:04"/>
    <d v="1899-12-30T15:31:45"/>
    <n v="8"/>
    <n v="1.59"/>
    <n v="0.42"/>
    <n v="4.9800000000000004"/>
    <x v="1"/>
  </r>
  <r>
    <d v="2022-11-29T00:00:00"/>
    <d v="1899-12-30T07:17:33"/>
    <d v="1899-12-30T15:30:57"/>
    <n v="8"/>
    <n v="1.34"/>
    <n v="0.27"/>
    <n v="3.95"/>
    <x v="1"/>
  </r>
  <r>
    <d v="2022-11-30T00:00:00"/>
    <d v="1899-12-30T07:19:01"/>
    <d v="1899-12-30T15:30:12"/>
    <n v="8"/>
    <n v="1.1399999999999999"/>
    <n v="0"/>
    <n v="7.02"/>
    <x v="1"/>
  </r>
  <r>
    <d v="2022-12-01T00:00:00"/>
    <d v="1899-12-30T07:20:27"/>
    <d v="1899-12-30T15:29:31"/>
    <n v="7"/>
    <n v="2.4900000000000002"/>
    <n v="1.06"/>
    <n v="6.09"/>
    <x v="1"/>
  </r>
  <r>
    <d v="2022-12-02T00:00:00"/>
    <d v="1899-12-30T07:21:51"/>
    <d v="1899-12-30T15:28:52"/>
    <n v="6"/>
    <n v="2.37"/>
    <n v="1.6"/>
    <n v="5.87"/>
    <x v="1"/>
  </r>
  <r>
    <d v="2022-12-03T00:00:00"/>
    <d v="1899-12-30T07:23:13"/>
    <d v="1899-12-30T15:28:17"/>
    <n v="5"/>
    <n v="3.36"/>
    <n v="2.41"/>
    <n v="4.95"/>
    <x v="1"/>
  </r>
  <r>
    <d v="2022-12-04T00:00:00"/>
    <d v="1899-12-30T07:24:33"/>
    <d v="1899-12-30T15:27:44"/>
    <n v="8"/>
    <n v="1.32"/>
    <n v="0.54"/>
    <n v="5.16"/>
    <x v="1"/>
  </r>
  <r>
    <d v="2022-12-05T00:00:00"/>
    <d v="1899-12-30T07:25:51"/>
    <d v="1899-12-30T15:27:16"/>
    <n v="7"/>
    <n v="2.48"/>
    <n v="0.49"/>
    <n v="5.04"/>
    <x v="1"/>
  </r>
  <r>
    <d v="2022-12-06T00:00:00"/>
    <d v="1899-12-30T07:27:07"/>
    <d v="1899-12-30T15:26:50"/>
    <n v="7"/>
    <n v="2.2000000000000002"/>
    <n v="0.61"/>
    <n v="4.92"/>
    <x v="0"/>
  </r>
  <r>
    <d v="2022-12-07T00:00:00"/>
    <d v="1899-12-30T07:28:20"/>
    <d v="1899-12-30T15:26:28"/>
    <n v="7"/>
    <n v="2.87"/>
    <n v="0.35"/>
    <n v="5.03"/>
    <x v="0"/>
  </r>
  <r>
    <d v="2022-12-08T00:00:00"/>
    <d v="1899-12-30T07:29:31"/>
    <d v="1899-12-30T15:26:10"/>
    <n v="7"/>
    <n v="2.8"/>
    <n v="1.24"/>
    <n v="4.29"/>
    <x v="0"/>
  </r>
  <r>
    <d v="2022-12-09T00:00:00"/>
    <d v="1899-12-30T07:30:39"/>
    <d v="1899-12-30T15:25:54"/>
    <n v="6"/>
    <n v="2.95"/>
    <n v="1.42"/>
    <n v="4.25"/>
    <x v="0"/>
  </r>
  <r>
    <d v="2022-12-10T00:00:00"/>
    <d v="1899-12-30T07:31:45"/>
    <d v="1899-12-30T15:25:43"/>
    <n v="6"/>
    <n v="3.38"/>
    <n v="1.66"/>
    <n v="5.07"/>
    <x v="0"/>
  </r>
  <r>
    <d v="2022-12-11T00:00:00"/>
    <d v="1899-12-30T07:32:48"/>
    <d v="1899-12-30T15:25:34"/>
    <n v="7"/>
    <n v="2.11"/>
    <n v="0.84"/>
    <n v="5.38"/>
    <x v="0"/>
  </r>
  <r>
    <d v="2022-12-12T00:00:00"/>
    <d v="1899-12-30T07:33:49"/>
    <d v="1899-12-30T15:25:29"/>
    <n v="8"/>
    <n v="1.31"/>
    <n v="0.05"/>
    <n v="6.3"/>
    <x v="0"/>
  </r>
  <r>
    <d v="2022-12-13T00:00:00"/>
    <d v="1899-12-30T07:34:46"/>
    <d v="1899-12-30T15:25:28"/>
    <n v="7"/>
    <n v="2.0299999999999998"/>
    <n v="1.02"/>
    <n v="6.12"/>
    <x v="0"/>
  </r>
  <r>
    <d v="2022-12-14T00:00:00"/>
    <d v="1899-12-30T07:35:41"/>
    <d v="1899-12-30T15:25:30"/>
    <n v="8"/>
    <n v="1.5"/>
    <n v="0.14000000000000001"/>
    <n v="6.01"/>
    <x v="0"/>
  </r>
  <r>
    <d v="2022-12-15T00:00:00"/>
    <d v="1899-12-30T07:36:33"/>
    <d v="1899-12-30T15:25:36"/>
    <n v="5"/>
    <n v="3.8"/>
    <n v="0.24"/>
    <n v="4.92"/>
    <x v="0"/>
  </r>
  <r>
    <d v="2022-12-16T00:00:00"/>
    <d v="1899-12-30T07:37:22"/>
    <d v="1899-12-30T15:25:45"/>
    <n v="7"/>
    <n v="2.11"/>
    <n v="0.6"/>
    <n v="4.95"/>
    <x v="0"/>
  </r>
  <r>
    <d v="2022-12-17T00:00:00"/>
    <d v="1899-12-30T07:38:07"/>
    <d v="1899-12-30T15:25:58"/>
    <n v="7"/>
    <n v="2.2200000000000002"/>
    <n v="0.95"/>
    <n v="6.02"/>
    <x v="0"/>
  </r>
  <r>
    <d v="2022-12-18T00:00:00"/>
    <d v="1899-12-30T07:38:50"/>
    <d v="1899-12-30T15:26:14"/>
    <n v="7"/>
    <n v="2.82"/>
    <n v="0.3"/>
    <n v="4.6500000000000004"/>
    <x v="0"/>
  </r>
  <r>
    <d v="2022-12-19T00:00:00"/>
    <d v="1899-12-30T07:39:30"/>
    <d v="1899-12-30T15:26:34"/>
    <n v="8"/>
    <n v="1.25"/>
    <n v="0.32"/>
    <n v="6.04"/>
    <x v="0"/>
  </r>
  <r>
    <d v="2022-12-20T00:00:00"/>
    <d v="1899-12-30T07:40:06"/>
    <d v="1899-12-30T15:26:57"/>
    <n v="8"/>
    <n v="1.55"/>
    <n v="0.12"/>
    <n v="4.43"/>
    <x v="0"/>
  </r>
  <r>
    <d v="2022-12-21T00:00:00"/>
    <d v="1899-12-30T07:40:39"/>
    <d v="1899-12-30T15:27:24"/>
    <n v="8"/>
    <n v="1.77"/>
    <n v="0.14000000000000001"/>
    <n v="6.21"/>
    <x v="0"/>
  </r>
  <r>
    <d v="2022-12-22T00:00:00"/>
    <d v="1899-12-30T07:41:08"/>
    <d v="1899-12-30T15:27:54"/>
    <n v="8"/>
    <n v="1.31"/>
    <n v="0.17"/>
    <n v="4.8499999999999996"/>
    <x v="0"/>
  </r>
  <r>
    <d v="2022-12-23T00:00:00"/>
    <d v="1899-12-30T07:41:35"/>
    <d v="1899-12-30T15:28:27"/>
    <n v="6"/>
    <n v="3.04"/>
    <n v="0.72"/>
    <n v="4.12"/>
    <x v="0"/>
  </r>
  <r>
    <d v="2022-12-24T00:00:00"/>
    <d v="1899-12-30T07:41:58"/>
    <d v="1899-12-30T15:29:04"/>
    <n v="8"/>
    <n v="1.0900000000000001"/>
    <n v="0.09"/>
    <n v="6.07"/>
    <x v="0"/>
  </r>
  <r>
    <d v="2022-12-25T00:00:00"/>
    <d v="1899-12-30T07:42:17"/>
    <d v="1899-12-30T15:29:44"/>
    <n v="7"/>
    <n v="2.92"/>
    <n v="1.05"/>
    <n v="4.1399999999999997"/>
    <x v="0"/>
  </r>
  <r>
    <d v="2022-12-26T00:00:00"/>
    <d v="1899-12-30T07:42:33"/>
    <d v="1899-12-30T15:30:27"/>
    <n v="6"/>
    <n v="3.24"/>
    <n v="2.04"/>
    <n v="5.0199999999999996"/>
    <x v="0"/>
  </r>
  <r>
    <d v="2022-12-27T00:00:00"/>
    <d v="1899-12-30T07:42:46"/>
    <d v="1899-12-30T15:31:13"/>
    <n v="5"/>
    <n v="3.79"/>
    <n v="2.61"/>
    <n v="4.6500000000000004"/>
    <x v="0"/>
  </r>
  <r>
    <d v="2022-12-28T00:00:00"/>
    <d v="1899-12-30T07:42:55"/>
    <d v="1899-12-30T15:32:03"/>
    <n v="8"/>
    <n v="1.54"/>
    <n v="0.36"/>
    <n v="4.1900000000000004"/>
    <x v="0"/>
  </r>
  <r>
    <d v="2022-12-29T00:00:00"/>
    <d v="1899-12-30T07:43:01"/>
    <d v="1899-12-30T15:32:56"/>
    <n v="8"/>
    <n v="1.21"/>
    <n v="0.24"/>
    <n v="5.39"/>
    <x v="0"/>
  </r>
  <r>
    <d v="2022-12-30T00:00:00"/>
    <d v="1899-12-30T07:43:03"/>
    <d v="1899-12-30T15:33:51"/>
    <n v="5"/>
    <n v="3.76"/>
    <n v="0.22"/>
    <n v="4.0599999999999996"/>
    <x v="0"/>
  </r>
  <r>
    <d v="2022-12-31T00:00:00"/>
    <d v="1899-12-30T07:43:02"/>
    <d v="1899-12-30T15:34:50"/>
    <n v="8"/>
    <n v="1.98"/>
    <n v="0.03"/>
    <n v="5.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F44BE-E072-4F67-8D69-6CF541099647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2:M13" firstHeaderRow="0" firstDataRow="1" firstDataCol="1"/>
  <pivotFields count="8">
    <pivotField numFmtId="14" showAll="0"/>
    <pivotField numFmtId="164" showAll="0"/>
    <pivotField numFmtId="164" showAll="0"/>
    <pivotField showAll="0"/>
    <pivotField dataField="1" showAll="0"/>
    <pivotField dataField="1" showAll="0"/>
    <pivotField dataField="1" showAll="0"/>
    <pivotField axis="axisRow"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produkcja" fld="4" subtotal="average" baseField="7" baseItem="0"/>
    <dataField name="Średnia z oddanie" fld="5" subtotal="average" baseField="7" baseItem="1"/>
    <dataField name="Średnia z pobranie" fld="6" subtotal="average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9D8F-F2A1-4318-B585-442421C8CF3B}">
  <dimension ref="A1:G366"/>
  <sheetViews>
    <sheetView workbookViewId="0"/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</cols>
  <sheetData>
    <row r="1" spans="1:7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25">
      <c r="A2" s="6">
        <v>44562</v>
      </c>
      <c r="B2" s="7">
        <v>0.32148148148148148</v>
      </c>
      <c r="C2" s="7">
        <v>0.65008101851851852</v>
      </c>
      <c r="D2" s="8">
        <v>0</v>
      </c>
      <c r="E2" s="8">
        <v>7.78</v>
      </c>
      <c r="F2" s="8">
        <v>3.29</v>
      </c>
      <c r="G2" s="9">
        <v>4.5599999999999996</v>
      </c>
    </row>
    <row r="3" spans="1:7" x14ac:dyDescent="0.25">
      <c r="A3" s="10">
        <v>44563</v>
      </c>
      <c r="B3" s="11">
        <v>0.3213773148148148</v>
      </c>
      <c r="C3" s="11">
        <v>0.65083333333333337</v>
      </c>
      <c r="D3" s="12">
        <v>4</v>
      </c>
      <c r="E3" s="12">
        <v>4.47</v>
      </c>
      <c r="F3" s="12">
        <v>1.23</v>
      </c>
      <c r="G3" s="13">
        <v>3.99</v>
      </c>
    </row>
    <row r="4" spans="1:7" x14ac:dyDescent="0.25">
      <c r="A4" s="6">
        <v>44564</v>
      </c>
      <c r="B4" s="7">
        <v>0.32123842592592594</v>
      </c>
      <c r="C4" s="7">
        <v>0.65162037037037035</v>
      </c>
      <c r="D4" s="8">
        <v>4</v>
      </c>
      <c r="E4" s="8">
        <v>6.02</v>
      </c>
      <c r="F4" s="8">
        <v>4.74</v>
      </c>
      <c r="G4" s="9">
        <v>2.56</v>
      </c>
    </row>
    <row r="5" spans="1:7" x14ac:dyDescent="0.25">
      <c r="A5" s="10">
        <v>44565</v>
      </c>
      <c r="B5" s="11">
        <v>0.32105324074074076</v>
      </c>
      <c r="C5" s="11">
        <v>0.65243055555555551</v>
      </c>
      <c r="D5" s="12">
        <v>6</v>
      </c>
      <c r="E5" s="12">
        <v>2.63</v>
      </c>
      <c r="F5" s="12">
        <v>1.22</v>
      </c>
      <c r="G5" s="13">
        <v>5.22</v>
      </c>
    </row>
    <row r="6" spans="1:7" x14ac:dyDescent="0.25">
      <c r="A6" s="6">
        <v>44566</v>
      </c>
      <c r="B6" s="7">
        <v>0.32083333333333336</v>
      </c>
      <c r="C6" s="7">
        <v>0.65327546296296302</v>
      </c>
      <c r="D6" s="8">
        <v>2</v>
      </c>
      <c r="E6" s="8">
        <v>7.99</v>
      </c>
      <c r="F6" s="8">
        <v>5.68</v>
      </c>
      <c r="G6" s="9">
        <v>4.22</v>
      </c>
    </row>
    <row r="7" spans="1:7" x14ac:dyDescent="0.25">
      <c r="A7" s="10">
        <v>44567</v>
      </c>
      <c r="B7" s="11">
        <v>0.32057870370370373</v>
      </c>
      <c r="C7" s="11">
        <v>0.65414351851851849</v>
      </c>
      <c r="D7" s="12">
        <v>3</v>
      </c>
      <c r="E7" s="12">
        <v>4.6500000000000004</v>
      </c>
      <c r="F7" s="12">
        <v>3.24</v>
      </c>
      <c r="G7" s="13">
        <v>2.57</v>
      </c>
    </row>
    <row r="8" spans="1:7" x14ac:dyDescent="0.25">
      <c r="A8" s="6">
        <v>44568</v>
      </c>
      <c r="B8" s="7">
        <v>0.32027777777777777</v>
      </c>
      <c r="C8" s="7">
        <v>0.65504629629629629</v>
      </c>
      <c r="D8" s="8">
        <v>1</v>
      </c>
      <c r="E8" s="8">
        <v>7.91</v>
      </c>
      <c r="F8" s="8">
        <v>2.34</v>
      </c>
      <c r="G8" s="9">
        <v>2.2200000000000002</v>
      </c>
    </row>
    <row r="9" spans="1:7" x14ac:dyDescent="0.25">
      <c r="A9" s="10">
        <v>44569</v>
      </c>
      <c r="B9" s="11">
        <v>0.31994212962962965</v>
      </c>
      <c r="C9" s="11">
        <v>0.65597222222222218</v>
      </c>
      <c r="D9" s="12">
        <v>1</v>
      </c>
      <c r="E9" s="12">
        <v>7.24</v>
      </c>
      <c r="F9" s="12">
        <v>2.58</v>
      </c>
      <c r="G9" s="13">
        <v>2.4700000000000002</v>
      </c>
    </row>
    <row r="10" spans="1:7" x14ac:dyDescent="0.25">
      <c r="A10" s="6">
        <v>44570</v>
      </c>
      <c r="B10" s="7">
        <v>0.31957175925925924</v>
      </c>
      <c r="C10" s="7">
        <v>0.6569328703703704</v>
      </c>
      <c r="D10" s="8">
        <v>1</v>
      </c>
      <c r="E10" s="8">
        <v>7.96</v>
      </c>
      <c r="F10" s="8">
        <v>2.74</v>
      </c>
      <c r="G10" s="9">
        <v>1.95</v>
      </c>
    </row>
    <row r="11" spans="1:7" x14ac:dyDescent="0.25">
      <c r="A11" s="10">
        <v>44571</v>
      </c>
      <c r="B11" s="11">
        <v>0.31915509259259262</v>
      </c>
      <c r="C11" s="11">
        <v>0.65790509259259256</v>
      </c>
      <c r="D11" s="12">
        <v>3</v>
      </c>
      <c r="E11" s="12">
        <v>2.37</v>
      </c>
      <c r="F11" s="12">
        <v>0.96</v>
      </c>
      <c r="G11" s="13">
        <v>2.3199999999999998</v>
      </c>
    </row>
    <row r="12" spans="1:7" x14ac:dyDescent="0.25">
      <c r="A12" s="6">
        <v>44572</v>
      </c>
      <c r="B12" s="7">
        <v>0.31870370370370371</v>
      </c>
      <c r="C12" s="7">
        <v>0.65891203703703705</v>
      </c>
      <c r="D12" s="8">
        <v>5</v>
      </c>
      <c r="E12" s="8">
        <v>1.56</v>
      </c>
      <c r="F12" s="8">
        <v>0.45</v>
      </c>
      <c r="G12" s="9">
        <v>3.21</v>
      </c>
    </row>
    <row r="13" spans="1:7" x14ac:dyDescent="0.25">
      <c r="A13" s="10">
        <v>44573</v>
      </c>
      <c r="B13" s="11">
        <v>0.31821759259259258</v>
      </c>
      <c r="C13" s="11">
        <v>0.65993055555555558</v>
      </c>
      <c r="D13" s="12">
        <v>6</v>
      </c>
      <c r="E13" s="12">
        <v>1.27</v>
      </c>
      <c r="F13" s="12">
        <v>0.22</v>
      </c>
      <c r="G13" s="13">
        <v>3.34</v>
      </c>
    </row>
    <row r="14" spans="1:7" x14ac:dyDescent="0.25">
      <c r="A14" s="6">
        <v>44574</v>
      </c>
      <c r="B14" s="7">
        <v>0.31769675925925928</v>
      </c>
      <c r="C14" s="7">
        <v>0.66098379629629633</v>
      </c>
      <c r="D14" s="8">
        <v>0</v>
      </c>
      <c r="E14" s="8">
        <v>8.6300000000000008</v>
      </c>
      <c r="F14" s="8">
        <v>3.47</v>
      </c>
      <c r="G14" s="9">
        <v>2.2599999999999998</v>
      </c>
    </row>
    <row r="15" spans="1:7" x14ac:dyDescent="0.25">
      <c r="A15" s="10">
        <v>44575</v>
      </c>
      <c r="B15" s="11">
        <v>0.31714120370370369</v>
      </c>
      <c r="C15" s="11">
        <v>0.66204861111111113</v>
      </c>
      <c r="D15" s="12">
        <v>1</v>
      </c>
      <c r="E15" s="12">
        <v>7.36</v>
      </c>
      <c r="F15" s="12">
        <v>2.2200000000000002</v>
      </c>
      <c r="G15" s="13">
        <v>2.56</v>
      </c>
    </row>
    <row r="16" spans="1:7" x14ac:dyDescent="0.25">
      <c r="A16" s="6">
        <v>44576</v>
      </c>
      <c r="B16" s="7">
        <v>0.31655092592592593</v>
      </c>
      <c r="C16" s="7">
        <v>0.66313657407407411</v>
      </c>
      <c r="D16" s="8">
        <v>5</v>
      </c>
      <c r="E16" s="8">
        <v>2.11</v>
      </c>
      <c r="F16" s="8">
        <v>0.45</v>
      </c>
      <c r="G16" s="9">
        <v>2.21</v>
      </c>
    </row>
    <row r="17" spans="1:7" x14ac:dyDescent="0.25">
      <c r="A17" s="10">
        <v>44577</v>
      </c>
      <c r="B17" s="11">
        <v>0.31592592592592594</v>
      </c>
      <c r="C17" s="11">
        <v>0.66424768518518518</v>
      </c>
      <c r="D17" s="12">
        <v>3</v>
      </c>
      <c r="E17" s="12">
        <v>5.31</v>
      </c>
      <c r="F17" s="12">
        <v>3.45</v>
      </c>
      <c r="G17" s="13">
        <v>1.22</v>
      </c>
    </row>
    <row r="18" spans="1:7" x14ac:dyDescent="0.25">
      <c r="A18" s="6">
        <v>44578</v>
      </c>
      <c r="B18" s="7">
        <v>0.31526620370370373</v>
      </c>
      <c r="C18" s="7">
        <v>0.66537037037037039</v>
      </c>
      <c r="D18" s="8">
        <v>2</v>
      </c>
      <c r="E18" s="8">
        <v>5.93</v>
      </c>
      <c r="F18" s="8">
        <v>1.25</v>
      </c>
      <c r="G18" s="9">
        <v>3.34</v>
      </c>
    </row>
    <row r="19" spans="1:7" x14ac:dyDescent="0.25">
      <c r="A19" s="10">
        <v>44579</v>
      </c>
      <c r="B19" s="11">
        <v>0.31457175925925923</v>
      </c>
      <c r="C19" s="11">
        <v>0.66650462962962964</v>
      </c>
      <c r="D19" s="12">
        <v>6</v>
      </c>
      <c r="E19" s="12">
        <v>2.19</v>
      </c>
      <c r="F19" s="12">
        <v>0.21</v>
      </c>
      <c r="G19" s="13">
        <v>3.22</v>
      </c>
    </row>
    <row r="20" spans="1:7" x14ac:dyDescent="0.25">
      <c r="A20" s="6">
        <v>44580</v>
      </c>
      <c r="B20" s="7">
        <v>0.31384259259259262</v>
      </c>
      <c r="C20" s="7">
        <v>0.66766203703703708</v>
      </c>
      <c r="D20" s="8">
        <v>4</v>
      </c>
      <c r="E20" s="8">
        <v>3.53</v>
      </c>
      <c r="F20" s="8">
        <v>0.34</v>
      </c>
      <c r="G20" s="9">
        <v>1.25</v>
      </c>
    </row>
    <row r="21" spans="1:7" x14ac:dyDescent="0.25">
      <c r="A21" s="10">
        <v>44581</v>
      </c>
      <c r="B21" s="11">
        <v>0.31309027777777776</v>
      </c>
      <c r="C21" s="11">
        <v>0.66883101851851856</v>
      </c>
      <c r="D21" s="12">
        <v>3</v>
      </c>
      <c r="E21" s="12">
        <v>4.33</v>
      </c>
      <c r="F21" s="12">
        <v>0.99</v>
      </c>
      <c r="G21" s="13">
        <v>0.21</v>
      </c>
    </row>
    <row r="22" spans="1:7" x14ac:dyDescent="0.25">
      <c r="A22" s="6">
        <v>44582</v>
      </c>
      <c r="B22" s="7">
        <v>0.31230324074074073</v>
      </c>
      <c r="C22" s="7">
        <v>0.67002314814814812</v>
      </c>
      <c r="D22" s="8">
        <v>6</v>
      </c>
      <c r="E22" s="8">
        <v>2.33</v>
      </c>
      <c r="F22" s="8">
        <v>0.02</v>
      </c>
      <c r="G22" s="9">
        <v>2.61</v>
      </c>
    </row>
    <row r="23" spans="1:7" x14ac:dyDescent="0.25">
      <c r="A23" s="10">
        <v>44583</v>
      </c>
      <c r="B23" s="11">
        <v>0.31148148148148147</v>
      </c>
      <c r="C23" s="11">
        <v>0.67121527777777779</v>
      </c>
      <c r="D23" s="12">
        <v>6</v>
      </c>
      <c r="E23" s="12">
        <v>3.21</v>
      </c>
      <c r="F23" s="12">
        <v>0.78</v>
      </c>
      <c r="G23" s="13">
        <v>2.2200000000000002</v>
      </c>
    </row>
    <row r="24" spans="1:7" x14ac:dyDescent="0.25">
      <c r="A24" s="6">
        <v>44584</v>
      </c>
      <c r="B24" s="7">
        <v>0.31063657407407408</v>
      </c>
      <c r="C24" s="7">
        <v>0.67243055555555553</v>
      </c>
      <c r="D24" s="8">
        <v>5</v>
      </c>
      <c r="E24" s="8">
        <v>4.0199999999999996</v>
      </c>
      <c r="F24" s="8">
        <v>2.0099999999999998</v>
      </c>
      <c r="G24" s="9">
        <v>1.01</v>
      </c>
    </row>
    <row r="25" spans="1:7" x14ac:dyDescent="0.25">
      <c r="A25" s="10">
        <v>44585</v>
      </c>
      <c r="B25" s="11">
        <v>0.30975694444444446</v>
      </c>
      <c r="C25" s="11">
        <v>0.67364583333333339</v>
      </c>
      <c r="D25" s="12">
        <v>4</v>
      </c>
      <c r="E25" s="12">
        <v>4.45</v>
      </c>
      <c r="F25" s="12">
        <v>2.34</v>
      </c>
      <c r="G25" s="13">
        <v>1.95</v>
      </c>
    </row>
    <row r="26" spans="1:7" x14ac:dyDescent="0.25">
      <c r="A26" s="6">
        <v>44586</v>
      </c>
      <c r="B26" s="7">
        <v>0.30884259259259261</v>
      </c>
      <c r="C26" s="7">
        <v>0.67487268518518517</v>
      </c>
      <c r="D26" s="8">
        <v>3</v>
      </c>
      <c r="E26" s="8">
        <v>5.52</v>
      </c>
      <c r="F26" s="8">
        <v>2.21</v>
      </c>
      <c r="G26" s="9">
        <v>1.21</v>
      </c>
    </row>
    <row r="27" spans="1:7" x14ac:dyDescent="0.25">
      <c r="A27" s="10">
        <v>44587</v>
      </c>
      <c r="B27" s="11">
        <v>0.30791666666666667</v>
      </c>
      <c r="C27" s="11">
        <v>0.67612268518518515</v>
      </c>
      <c r="D27" s="12">
        <v>2</v>
      </c>
      <c r="E27" s="12">
        <v>5.1100000000000003</v>
      </c>
      <c r="F27" s="12">
        <v>2.02</v>
      </c>
      <c r="G27" s="13">
        <v>1.35</v>
      </c>
    </row>
    <row r="28" spans="1:7" x14ac:dyDescent="0.25">
      <c r="A28" s="6">
        <v>44588</v>
      </c>
      <c r="B28" s="7">
        <v>0.3069560185185185</v>
      </c>
      <c r="C28" s="7">
        <v>0.67737268518518523</v>
      </c>
      <c r="D28" s="8">
        <v>1</v>
      </c>
      <c r="E28" s="8">
        <v>4.97</v>
      </c>
      <c r="F28" s="8">
        <v>1.92</v>
      </c>
      <c r="G28" s="9">
        <v>2.0099999999999998</v>
      </c>
    </row>
    <row r="29" spans="1:7" x14ac:dyDescent="0.25">
      <c r="A29" s="10">
        <v>44589</v>
      </c>
      <c r="B29" s="11">
        <v>0.30596064814814816</v>
      </c>
      <c r="C29" s="11">
        <v>0.6786226851851852</v>
      </c>
      <c r="D29" s="12">
        <v>1</v>
      </c>
      <c r="E29" s="12">
        <v>5.67</v>
      </c>
      <c r="F29" s="12">
        <v>3.21</v>
      </c>
      <c r="G29" s="13">
        <v>1.01</v>
      </c>
    </row>
    <row r="30" spans="1:7" x14ac:dyDescent="0.25">
      <c r="A30" s="6">
        <v>44590</v>
      </c>
      <c r="B30" s="7">
        <v>0.30494212962962963</v>
      </c>
      <c r="C30" s="7">
        <v>0.67988425925925922</v>
      </c>
      <c r="D30" s="8">
        <v>1</v>
      </c>
      <c r="E30" s="8">
        <v>5.76</v>
      </c>
      <c r="F30" s="8">
        <v>3.33</v>
      </c>
      <c r="G30" s="9">
        <v>2.0099999999999998</v>
      </c>
    </row>
    <row r="31" spans="1:7" x14ac:dyDescent="0.25">
      <c r="A31" s="10">
        <v>44591</v>
      </c>
      <c r="B31" s="11">
        <v>0.30391203703703706</v>
      </c>
      <c r="C31" s="11">
        <v>0.68115740740740738</v>
      </c>
      <c r="D31" s="12">
        <v>2</v>
      </c>
      <c r="E31" s="12">
        <v>5.97</v>
      </c>
      <c r="F31" s="12">
        <v>3.48</v>
      </c>
      <c r="G31" s="13">
        <v>1.93</v>
      </c>
    </row>
    <row r="32" spans="1:7" x14ac:dyDescent="0.25">
      <c r="A32" s="6">
        <v>44592</v>
      </c>
      <c r="B32" s="7">
        <v>0.30284722222222221</v>
      </c>
      <c r="C32" s="7">
        <v>0.68243055555555554</v>
      </c>
      <c r="D32" s="8">
        <v>1</v>
      </c>
      <c r="E32" s="8">
        <v>6.01</v>
      </c>
      <c r="F32" s="8">
        <v>2.34</v>
      </c>
      <c r="G32" s="9">
        <v>0.94</v>
      </c>
    </row>
    <row r="33" spans="1:7" x14ac:dyDescent="0.25">
      <c r="A33" s="10">
        <v>44593</v>
      </c>
      <c r="B33" s="11">
        <v>0.30175925925925928</v>
      </c>
      <c r="C33" s="11">
        <v>0.68371527777777774</v>
      </c>
      <c r="D33" s="12">
        <v>1</v>
      </c>
      <c r="E33" s="12">
        <v>6.18</v>
      </c>
      <c r="F33" s="12">
        <v>1.34</v>
      </c>
      <c r="G33" s="13">
        <v>1.28</v>
      </c>
    </row>
    <row r="34" spans="1:7" x14ac:dyDescent="0.25">
      <c r="A34" s="6">
        <v>44594</v>
      </c>
      <c r="B34" s="7">
        <v>0.30064814814814816</v>
      </c>
      <c r="C34" s="7">
        <v>0.68500000000000005</v>
      </c>
      <c r="D34" s="8">
        <v>1</v>
      </c>
      <c r="E34" s="8">
        <v>7.25</v>
      </c>
      <c r="F34" s="8">
        <v>1.57</v>
      </c>
      <c r="G34" s="9">
        <v>1.01</v>
      </c>
    </row>
    <row r="35" spans="1:7" x14ac:dyDescent="0.25">
      <c r="A35" s="10">
        <v>44595</v>
      </c>
      <c r="B35" s="11">
        <v>0.29951388888888891</v>
      </c>
      <c r="C35" s="11">
        <v>0.68629629629629629</v>
      </c>
      <c r="D35" s="12">
        <v>4</v>
      </c>
      <c r="E35" s="12">
        <v>3.63</v>
      </c>
      <c r="F35" s="12">
        <v>1.21</v>
      </c>
      <c r="G35" s="13">
        <v>2.25</v>
      </c>
    </row>
    <row r="36" spans="1:7" x14ac:dyDescent="0.25">
      <c r="A36" s="6">
        <v>44596</v>
      </c>
      <c r="B36" s="7">
        <v>0.29835648148148147</v>
      </c>
      <c r="C36" s="7">
        <v>0.68758101851851849</v>
      </c>
      <c r="D36" s="8">
        <v>1</v>
      </c>
      <c r="E36" s="8">
        <v>7.8</v>
      </c>
      <c r="F36" s="8">
        <v>3.34</v>
      </c>
      <c r="G36" s="9">
        <v>2.94</v>
      </c>
    </row>
    <row r="37" spans="1:7" x14ac:dyDescent="0.25">
      <c r="A37" s="10">
        <v>44597</v>
      </c>
      <c r="B37" s="11">
        <v>0.2971759259259259</v>
      </c>
      <c r="C37" s="11">
        <v>0.68887731481481485</v>
      </c>
      <c r="D37" s="12">
        <v>2</v>
      </c>
      <c r="E37" s="12">
        <v>5.0199999999999996</v>
      </c>
      <c r="F37" s="12">
        <v>2.13</v>
      </c>
      <c r="G37" s="13">
        <v>3.1</v>
      </c>
    </row>
    <row r="38" spans="1:7" x14ac:dyDescent="0.25">
      <c r="A38" s="6">
        <v>44598</v>
      </c>
      <c r="B38" s="7">
        <v>0.29597222222222225</v>
      </c>
      <c r="C38" s="7">
        <v>0.69017361111111108</v>
      </c>
      <c r="D38" s="8">
        <v>1</v>
      </c>
      <c r="E38" s="8">
        <v>6.87</v>
      </c>
      <c r="F38" s="8">
        <v>2.89</v>
      </c>
      <c r="G38" s="9">
        <v>3.34</v>
      </c>
    </row>
    <row r="39" spans="1:7" x14ac:dyDescent="0.25">
      <c r="A39" s="10">
        <v>44599</v>
      </c>
      <c r="B39" s="11">
        <v>0.29475694444444445</v>
      </c>
      <c r="C39" s="11">
        <v>0.69148148148148147</v>
      </c>
      <c r="D39" s="12">
        <v>1</v>
      </c>
      <c r="E39" s="12">
        <v>7.59</v>
      </c>
      <c r="F39" s="12">
        <v>2.56</v>
      </c>
      <c r="G39" s="13">
        <v>2.78</v>
      </c>
    </row>
    <row r="40" spans="1:7" x14ac:dyDescent="0.25">
      <c r="A40" s="6">
        <v>44600</v>
      </c>
      <c r="B40" s="7">
        <v>0.29351851851851851</v>
      </c>
      <c r="C40" s="7">
        <v>0.69277777777777783</v>
      </c>
      <c r="D40" s="8">
        <v>1</v>
      </c>
      <c r="E40" s="8">
        <v>7.84</v>
      </c>
      <c r="F40" s="8">
        <v>2.63</v>
      </c>
      <c r="G40" s="9">
        <v>2.19</v>
      </c>
    </row>
    <row r="41" spans="1:7" x14ac:dyDescent="0.25">
      <c r="A41" s="10">
        <v>44601</v>
      </c>
      <c r="B41" s="11">
        <v>0.29226851851851854</v>
      </c>
      <c r="C41" s="11">
        <v>0.6940856481481481</v>
      </c>
      <c r="D41" s="12">
        <v>6</v>
      </c>
      <c r="E41" s="12">
        <v>2.93</v>
      </c>
      <c r="F41" s="12">
        <v>1.1299999999999999</v>
      </c>
      <c r="G41" s="13">
        <v>3.1</v>
      </c>
    </row>
    <row r="42" spans="1:7" x14ac:dyDescent="0.25">
      <c r="A42" s="6">
        <v>44602</v>
      </c>
      <c r="B42" s="7">
        <v>0.29098379629629628</v>
      </c>
      <c r="C42" s="7">
        <v>0.69538194444444446</v>
      </c>
      <c r="D42" s="8">
        <v>7</v>
      </c>
      <c r="E42" s="8">
        <v>1.24</v>
      </c>
      <c r="F42" s="8">
        <v>0.3</v>
      </c>
      <c r="G42" s="9">
        <v>2.14</v>
      </c>
    </row>
    <row r="43" spans="1:7" x14ac:dyDescent="0.25">
      <c r="A43" s="10">
        <v>44603</v>
      </c>
      <c r="B43" s="11">
        <v>0.28969907407407408</v>
      </c>
      <c r="C43" s="11">
        <v>0.69668981481481485</v>
      </c>
      <c r="D43" s="12">
        <v>8</v>
      </c>
      <c r="E43" s="12">
        <v>0.26</v>
      </c>
      <c r="F43" s="12">
        <v>0</v>
      </c>
      <c r="G43" s="13">
        <v>4.8600000000000003</v>
      </c>
    </row>
    <row r="44" spans="1:7" x14ac:dyDescent="0.25">
      <c r="A44" s="6">
        <v>44604</v>
      </c>
      <c r="B44" s="7">
        <v>0.28837962962962965</v>
      </c>
      <c r="C44" s="7">
        <v>0.69798611111111108</v>
      </c>
      <c r="D44" s="8">
        <v>2</v>
      </c>
      <c r="E44" s="8">
        <v>5.79</v>
      </c>
      <c r="F44" s="8">
        <v>1.7</v>
      </c>
      <c r="G44" s="9">
        <v>0.8</v>
      </c>
    </row>
    <row r="45" spans="1:7" x14ac:dyDescent="0.25">
      <c r="A45" s="10">
        <v>44605</v>
      </c>
      <c r="B45" s="11">
        <v>0.28706018518518517</v>
      </c>
      <c r="C45" s="11">
        <v>0.69928240740740744</v>
      </c>
      <c r="D45" s="12">
        <v>3</v>
      </c>
      <c r="E45" s="12">
        <v>5.26</v>
      </c>
      <c r="F45" s="12">
        <v>1.42</v>
      </c>
      <c r="G45" s="13">
        <v>2.34</v>
      </c>
    </row>
    <row r="46" spans="1:7" x14ac:dyDescent="0.25">
      <c r="A46" s="6">
        <v>44606</v>
      </c>
      <c r="B46" s="7">
        <v>0.28570601851851851</v>
      </c>
      <c r="C46" s="7">
        <v>0.70059027777777783</v>
      </c>
      <c r="D46" s="8">
        <v>2</v>
      </c>
      <c r="E46" s="8">
        <v>5.62</v>
      </c>
      <c r="F46" s="8">
        <v>2.41</v>
      </c>
      <c r="G46" s="9">
        <v>2.59</v>
      </c>
    </row>
    <row r="47" spans="1:7" x14ac:dyDescent="0.25">
      <c r="A47" s="10">
        <v>44607</v>
      </c>
      <c r="B47" s="11">
        <v>0.28435185185185186</v>
      </c>
      <c r="C47" s="11">
        <v>0.70188657407407407</v>
      </c>
      <c r="D47" s="12">
        <v>4</v>
      </c>
      <c r="E47" s="12">
        <v>3.58</v>
      </c>
      <c r="F47" s="12">
        <v>1.63</v>
      </c>
      <c r="G47" s="13">
        <v>3.21</v>
      </c>
    </row>
    <row r="48" spans="1:7" x14ac:dyDescent="0.25">
      <c r="A48" s="6">
        <v>44608</v>
      </c>
      <c r="B48" s="7">
        <v>0.28297453703703701</v>
      </c>
      <c r="C48" s="7">
        <v>0.70318287037037042</v>
      </c>
      <c r="D48" s="8">
        <v>7</v>
      </c>
      <c r="E48" s="8">
        <v>1.1599999999999999</v>
      </c>
      <c r="F48" s="8">
        <v>0.25</v>
      </c>
      <c r="G48" s="9">
        <v>2.1</v>
      </c>
    </row>
    <row r="49" spans="1:7" x14ac:dyDescent="0.25">
      <c r="A49" s="10">
        <v>44609</v>
      </c>
      <c r="B49" s="11">
        <v>0.28158564814814813</v>
      </c>
      <c r="C49" s="11">
        <v>0.70447916666666666</v>
      </c>
      <c r="D49" s="12">
        <v>1</v>
      </c>
      <c r="E49" s="12">
        <v>8.59</v>
      </c>
      <c r="F49" s="12">
        <v>3.68</v>
      </c>
      <c r="G49" s="13">
        <v>2.36</v>
      </c>
    </row>
    <row r="50" spans="1:7" x14ac:dyDescent="0.25">
      <c r="A50" s="6">
        <v>44610</v>
      </c>
      <c r="B50" s="7">
        <v>0.2801851851851852</v>
      </c>
      <c r="C50" s="7">
        <v>0.70576388888888886</v>
      </c>
      <c r="D50" s="8">
        <v>3</v>
      </c>
      <c r="E50" s="8">
        <v>4.24</v>
      </c>
      <c r="F50" s="8">
        <v>1.27</v>
      </c>
      <c r="G50" s="9">
        <v>3.09</v>
      </c>
    </row>
    <row r="51" spans="1:7" x14ac:dyDescent="0.25">
      <c r="A51" s="10">
        <v>44611</v>
      </c>
      <c r="B51" s="11">
        <v>0.27877314814814813</v>
      </c>
      <c r="C51" s="11">
        <v>0.70706018518518521</v>
      </c>
      <c r="D51" s="12">
        <v>6</v>
      </c>
      <c r="E51" s="12">
        <v>2.1800000000000002</v>
      </c>
      <c r="F51" s="12">
        <v>0.9</v>
      </c>
      <c r="G51" s="13">
        <v>3.17</v>
      </c>
    </row>
    <row r="52" spans="1:7" x14ac:dyDescent="0.25">
      <c r="A52" s="6">
        <v>44612</v>
      </c>
      <c r="B52" s="7">
        <v>0.27733796296296298</v>
      </c>
      <c r="C52" s="7">
        <v>0.70834490740740741</v>
      </c>
      <c r="D52" s="8">
        <v>0</v>
      </c>
      <c r="E52" s="8">
        <v>9.14</v>
      </c>
      <c r="F52" s="8">
        <v>2.74</v>
      </c>
      <c r="G52" s="9">
        <v>1.96</v>
      </c>
    </row>
    <row r="53" spans="1:7" x14ac:dyDescent="0.25">
      <c r="A53" s="10">
        <v>44613</v>
      </c>
      <c r="B53" s="11">
        <v>0.27590277777777777</v>
      </c>
      <c r="C53" s="11">
        <v>0.70962962962962961</v>
      </c>
      <c r="D53" s="12">
        <v>0</v>
      </c>
      <c r="E53" s="12">
        <v>9.85</v>
      </c>
      <c r="F53" s="12">
        <v>3.02</v>
      </c>
      <c r="G53" s="13">
        <v>2.46</v>
      </c>
    </row>
    <row r="54" spans="1:7" x14ac:dyDescent="0.25">
      <c r="A54" s="6">
        <v>44614</v>
      </c>
      <c r="B54" s="7">
        <v>0.27444444444444444</v>
      </c>
      <c r="C54" s="7">
        <v>0.71091435185185181</v>
      </c>
      <c r="D54" s="8">
        <v>1</v>
      </c>
      <c r="E54" s="8">
        <v>9.2899999999999991</v>
      </c>
      <c r="F54" s="8">
        <v>2.79</v>
      </c>
      <c r="G54" s="9">
        <v>1.49</v>
      </c>
    </row>
    <row r="55" spans="1:7" x14ac:dyDescent="0.25">
      <c r="A55" s="10">
        <v>44615</v>
      </c>
      <c r="B55" s="11">
        <v>0.27297453703703706</v>
      </c>
      <c r="C55" s="11">
        <v>0.71219907407407412</v>
      </c>
      <c r="D55" s="12">
        <v>4</v>
      </c>
      <c r="E55" s="12">
        <v>2.57</v>
      </c>
      <c r="F55" s="12">
        <v>0.76</v>
      </c>
      <c r="G55" s="13">
        <v>4.03</v>
      </c>
    </row>
    <row r="56" spans="1:7" x14ac:dyDescent="0.25">
      <c r="A56" s="6">
        <v>44616</v>
      </c>
      <c r="B56" s="7">
        <v>0.27150462962962962</v>
      </c>
      <c r="C56" s="7">
        <v>0.71347222222222217</v>
      </c>
      <c r="D56" s="8">
        <v>0</v>
      </c>
      <c r="E56" s="8">
        <v>9.64</v>
      </c>
      <c r="F56" s="8">
        <v>3.82</v>
      </c>
      <c r="G56" s="9">
        <v>2.36</v>
      </c>
    </row>
    <row r="57" spans="1:7" x14ac:dyDescent="0.25">
      <c r="A57" s="10">
        <v>44617</v>
      </c>
      <c r="B57" s="11">
        <v>0.27001157407407406</v>
      </c>
      <c r="C57" s="11">
        <v>0.71474537037037034</v>
      </c>
      <c r="D57" s="12">
        <v>0</v>
      </c>
      <c r="E57" s="12">
        <v>9.35</v>
      </c>
      <c r="F57" s="12">
        <v>3.73</v>
      </c>
      <c r="G57" s="13">
        <v>2.1800000000000002</v>
      </c>
    </row>
    <row r="58" spans="1:7" x14ac:dyDescent="0.25">
      <c r="A58" s="6">
        <v>44618</v>
      </c>
      <c r="B58" s="7">
        <v>0.26851851851851855</v>
      </c>
      <c r="C58" s="7">
        <v>0.7160185185185185</v>
      </c>
      <c r="D58" s="8">
        <v>0</v>
      </c>
      <c r="E58" s="8">
        <v>8.76</v>
      </c>
      <c r="F58" s="8">
        <v>3.92</v>
      </c>
      <c r="G58" s="9">
        <v>2.4</v>
      </c>
    </row>
    <row r="59" spans="1:7" x14ac:dyDescent="0.25">
      <c r="A59" s="10">
        <v>44619</v>
      </c>
      <c r="B59" s="11">
        <v>0.26700231481481479</v>
      </c>
      <c r="C59" s="11">
        <v>0.71728009259259262</v>
      </c>
      <c r="D59" s="12">
        <v>0</v>
      </c>
      <c r="E59" s="12">
        <v>9.77</v>
      </c>
      <c r="F59" s="12">
        <v>3.26</v>
      </c>
      <c r="G59" s="13">
        <v>1.3</v>
      </c>
    </row>
    <row r="60" spans="1:7" x14ac:dyDescent="0.25">
      <c r="A60" s="6">
        <v>44620</v>
      </c>
      <c r="B60" s="7">
        <v>0.26548611111111109</v>
      </c>
      <c r="C60" s="7">
        <v>0.71855324074074078</v>
      </c>
      <c r="D60" s="8">
        <v>5</v>
      </c>
      <c r="E60" s="8">
        <v>2.93</v>
      </c>
      <c r="F60" s="8">
        <v>1.03</v>
      </c>
      <c r="G60" s="9">
        <v>2.99</v>
      </c>
    </row>
    <row r="61" spans="1:7" x14ac:dyDescent="0.25">
      <c r="A61" s="10">
        <v>44621</v>
      </c>
      <c r="B61" s="11">
        <v>0.26396990740740739</v>
      </c>
      <c r="C61" s="11">
        <v>0.7198148148148148</v>
      </c>
      <c r="D61" s="12">
        <v>2</v>
      </c>
      <c r="E61" s="12">
        <v>4.66</v>
      </c>
      <c r="F61" s="12">
        <v>1.37</v>
      </c>
      <c r="G61" s="13">
        <v>2.0499999999999998</v>
      </c>
    </row>
    <row r="62" spans="1:7" x14ac:dyDescent="0.25">
      <c r="A62" s="6">
        <v>44622</v>
      </c>
      <c r="B62" s="7">
        <v>0.26243055555555556</v>
      </c>
      <c r="C62" s="7">
        <v>0.72106481481481477</v>
      </c>
      <c r="D62" s="8">
        <v>6</v>
      </c>
      <c r="E62" s="8">
        <v>2.99</v>
      </c>
      <c r="F62" s="8">
        <v>0.74</v>
      </c>
      <c r="G62" s="9">
        <v>1.48</v>
      </c>
    </row>
    <row r="63" spans="1:7" x14ac:dyDescent="0.25">
      <c r="A63" s="10">
        <v>44623</v>
      </c>
      <c r="B63" s="11">
        <v>0.26089120370370372</v>
      </c>
      <c r="C63" s="11">
        <v>0.72232638888888889</v>
      </c>
      <c r="D63" s="12">
        <v>7</v>
      </c>
      <c r="E63" s="12">
        <v>1.1399999999999999</v>
      </c>
      <c r="F63" s="12">
        <v>0.22</v>
      </c>
      <c r="G63" s="13">
        <v>3.27</v>
      </c>
    </row>
    <row r="64" spans="1:7" x14ac:dyDescent="0.25">
      <c r="A64" s="6">
        <v>44624</v>
      </c>
      <c r="B64" s="7">
        <v>0.25934027777777779</v>
      </c>
      <c r="C64" s="7">
        <v>0.72357638888888887</v>
      </c>
      <c r="D64" s="8">
        <v>0</v>
      </c>
      <c r="E64" s="8">
        <v>9.7100000000000009</v>
      </c>
      <c r="F64" s="8">
        <v>3.95</v>
      </c>
      <c r="G64" s="9">
        <v>1.96</v>
      </c>
    </row>
    <row r="65" spans="1:7" x14ac:dyDescent="0.25">
      <c r="A65" s="10">
        <v>44625</v>
      </c>
      <c r="B65" s="11">
        <v>0.25777777777777777</v>
      </c>
      <c r="C65" s="11">
        <v>0.72482638888888884</v>
      </c>
      <c r="D65" s="12">
        <v>0</v>
      </c>
      <c r="E65" s="12">
        <v>9.92</v>
      </c>
      <c r="F65" s="12">
        <v>3.01</v>
      </c>
      <c r="G65" s="13">
        <v>1.52</v>
      </c>
    </row>
    <row r="66" spans="1:7" x14ac:dyDescent="0.25">
      <c r="A66" s="6">
        <v>44626</v>
      </c>
      <c r="B66" s="7">
        <v>0.25621527777777775</v>
      </c>
      <c r="C66" s="7">
        <v>0.72607638888888892</v>
      </c>
      <c r="D66" s="8">
        <v>1</v>
      </c>
      <c r="E66" s="8">
        <v>9.66</v>
      </c>
      <c r="F66" s="8">
        <v>2.79</v>
      </c>
      <c r="G66" s="9">
        <v>1.24</v>
      </c>
    </row>
    <row r="67" spans="1:7" x14ac:dyDescent="0.25">
      <c r="A67" s="10">
        <v>44627</v>
      </c>
      <c r="B67" s="11">
        <v>0.25464120370370369</v>
      </c>
      <c r="C67" s="11">
        <v>0.72731481481481486</v>
      </c>
      <c r="D67" s="12">
        <v>4</v>
      </c>
      <c r="E67" s="12">
        <v>3.6</v>
      </c>
      <c r="F67" s="12">
        <v>1.68</v>
      </c>
      <c r="G67" s="13">
        <v>2.75</v>
      </c>
    </row>
    <row r="68" spans="1:7" x14ac:dyDescent="0.25">
      <c r="A68" s="6">
        <v>44628</v>
      </c>
      <c r="B68" s="7">
        <v>0.25306712962962963</v>
      </c>
      <c r="C68" s="7">
        <v>0.72855324074074079</v>
      </c>
      <c r="D68" s="8">
        <v>2</v>
      </c>
      <c r="E68" s="8">
        <v>4.9000000000000004</v>
      </c>
      <c r="F68" s="8">
        <v>2.5299999999999998</v>
      </c>
      <c r="G68" s="9">
        <v>2.46</v>
      </c>
    </row>
    <row r="69" spans="1:7" x14ac:dyDescent="0.25">
      <c r="A69" s="10">
        <v>44629</v>
      </c>
      <c r="B69" s="11">
        <v>0.25148148148148147</v>
      </c>
      <c r="C69" s="11">
        <v>0.72979166666666662</v>
      </c>
      <c r="D69" s="12">
        <v>3</v>
      </c>
      <c r="E69" s="12">
        <v>3.29</v>
      </c>
      <c r="F69" s="12">
        <v>0.73</v>
      </c>
      <c r="G69" s="13">
        <v>2.4300000000000002</v>
      </c>
    </row>
    <row r="70" spans="1:7" x14ac:dyDescent="0.25">
      <c r="A70" s="6">
        <v>44630</v>
      </c>
      <c r="B70" s="7">
        <v>0.24989583333333334</v>
      </c>
      <c r="C70" s="7">
        <v>0.73103009259259255</v>
      </c>
      <c r="D70" s="8">
        <v>1</v>
      </c>
      <c r="E70" s="8">
        <v>7.92</v>
      </c>
      <c r="F70" s="8">
        <v>1.58</v>
      </c>
      <c r="G70" s="9">
        <v>1.63</v>
      </c>
    </row>
    <row r="71" spans="1:7" x14ac:dyDescent="0.25">
      <c r="A71" s="10">
        <v>44631</v>
      </c>
      <c r="B71" s="11">
        <v>0.24831018518518519</v>
      </c>
      <c r="C71" s="11">
        <v>0.73225694444444445</v>
      </c>
      <c r="D71" s="12">
        <v>4</v>
      </c>
      <c r="E71" s="12">
        <v>2.99</v>
      </c>
      <c r="F71" s="12">
        <v>1.05</v>
      </c>
      <c r="G71" s="13">
        <v>2.89</v>
      </c>
    </row>
    <row r="72" spans="1:7" x14ac:dyDescent="0.25">
      <c r="A72" s="6">
        <v>44632</v>
      </c>
      <c r="B72" s="7">
        <v>0.2467013888888889</v>
      </c>
      <c r="C72" s="7">
        <v>0.73348379629629634</v>
      </c>
      <c r="D72" s="8">
        <v>0</v>
      </c>
      <c r="E72" s="8">
        <v>11.09</v>
      </c>
      <c r="F72" s="8">
        <v>3.46</v>
      </c>
      <c r="G72" s="9">
        <v>1.28</v>
      </c>
    </row>
    <row r="73" spans="1:7" x14ac:dyDescent="0.25">
      <c r="A73" s="10">
        <v>44633</v>
      </c>
      <c r="B73" s="11">
        <v>0.24510416666666668</v>
      </c>
      <c r="C73" s="11">
        <v>0.73471064814814813</v>
      </c>
      <c r="D73" s="12">
        <v>0</v>
      </c>
      <c r="E73" s="12">
        <v>12.5</v>
      </c>
      <c r="F73" s="12">
        <v>3.14</v>
      </c>
      <c r="G73" s="13">
        <v>1.24</v>
      </c>
    </row>
    <row r="74" spans="1:7" x14ac:dyDescent="0.25">
      <c r="A74" s="6">
        <v>44634</v>
      </c>
      <c r="B74" s="7">
        <v>0.24349537037037036</v>
      </c>
      <c r="C74" s="7">
        <v>0.73593750000000002</v>
      </c>
      <c r="D74" s="8">
        <v>2</v>
      </c>
      <c r="E74" s="8">
        <v>5.32</v>
      </c>
      <c r="F74" s="8">
        <v>2.64</v>
      </c>
      <c r="G74" s="9">
        <v>3.06</v>
      </c>
    </row>
    <row r="75" spans="1:7" x14ac:dyDescent="0.25">
      <c r="A75" s="10">
        <v>44635</v>
      </c>
      <c r="B75" s="11">
        <v>0.24188657407407407</v>
      </c>
      <c r="C75" s="11">
        <v>0.73716435185185181</v>
      </c>
      <c r="D75" s="12">
        <v>6</v>
      </c>
      <c r="E75" s="12">
        <v>3.14</v>
      </c>
      <c r="F75" s="12">
        <v>1.73</v>
      </c>
      <c r="G75" s="13">
        <v>3.82</v>
      </c>
    </row>
    <row r="76" spans="1:7" x14ac:dyDescent="0.25">
      <c r="A76" s="6">
        <v>44636</v>
      </c>
      <c r="B76" s="7">
        <v>0.24027777777777778</v>
      </c>
      <c r="C76" s="7">
        <v>0.73837962962962966</v>
      </c>
      <c r="D76" s="8">
        <v>0</v>
      </c>
      <c r="E76" s="8">
        <v>12.41</v>
      </c>
      <c r="F76" s="8">
        <v>3.85</v>
      </c>
      <c r="G76" s="9">
        <v>0.67</v>
      </c>
    </row>
    <row r="77" spans="1:7" x14ac:dyDescent="0.25">
      <c r="A77" s="10">
        <v>44637</v>
      </c>
      <c r="B77" s="11">
        <v>0.23866898148148147</v>
      </c>
      <c r="C77" s="11">
        <v>0.73959490740740741</v>
      </c>
      <c r="D77" s="12">
        <v>4</v>
      </c>
      <c r="E77" s="12">
        <v>3.11</v>
      </c>
      <c r="F77" s="12">
        <v>2.14</v>
      </c>
      <c r="G77" s="13">
        <v>4.2</v>
      </c>
    </row>
    <row r="78" spans="1:7" x14ac:dyDescent="0.25">
      <c r="A78" s="6">
        <v>44638</v>
      </c>
      <c r="B78" s="7">
        <v>0.23704861111111111</v>
      </c>
      <c r="C78" s="7">
        <v>0.74081018518518515</v>
      </c>
      <c r="D78" s="8">
        <v>0</v>
      </c>
      <c r="E78" s="8">
        <v>11.14</v>
      </c>
      <c r="F78" s="8">
        <v>3.57</v>
      </c>
      <c r="G78" s="9">
        <v>1.4</v>
      </c>
    </row>
    <row r="79" spans="1:7" x14ac:dyDescent="0.25">
      <c r="A79" s="10">
        <v>44639</v>
      </c>
      <c r="B79" s="11">
        <v>0.23542824074074073</v>
      </c>
      <c r="C79" s="11">
        <v>0.74202546296296301</v>
      </c>
      <c r="D79" s="12">
        <v>0</v>
      </c>
      <c r="E79" s="12">
        <v>14.64</v>
      </c>
      <c r="F79" s="12">
        <v>3.79</v>
      </c>
      <c r="G79" s="13">
        <v>0.42</v>
      </c>
    </row>
    <row r="80" spans="1:7" x14ac:dyDescent="0.25">
      <c r="A80" s="6">
        <v>44640</v>
      </c>
      <c r="B80" s="7">
        <v>0.23380787037037037</v>
      </c>
      <c r="C80" s="7">
        <v>0.74324074074074076</v>
      </c>
      <c r="D80" s="8">
        <v>0</v>
      </c>
      <c r="E80" s="8">
        <v>12.39</v>
      </c>
      <c r="F80" s="8">
        <v>3.87</v>
      </c>
      <c r="G80" s="9">
        <v>1.02</v>
      </c>
    </row>
    <row r="81" spans="1:7" x14ac:dyDescent="0.25">
      <c r="A81" s="10">
        <v>44641</v>
      </c>
      <c r="B81" s="11">
        <v>0.23218749999999999</v>
      </c>
      <c r="C81" s="11">
        <v>0.74444444444444446</v>
      </c>
      <c r="D81" s="12">
        <v>3</v>
      </c>
      <c r="E81" s="12">
        <v>3.56</v>
      </c>
      <c r="F81" s="12">
        <v>1.4</v>
      </c>
      <c r="G81" s="13">
        <v>3.29</v>
      </c>
    </row>
    <row r="82" spans="1:7" x14ac:dyDescent="0.25">
      <c r="A82" s="6">
        <v>44642</v>
      </c>
      <c r="B82" s="7">
        <v>0.23056712962962964</v>
      </c>
      <c r="C82" s="7">
        <v>0.74565972222222221</v>
      </c>
      <c r="D82" s="8">
        <v>5</v>
      </c>
      <c r="E82" s="8">
        <v>3.59</v>
      </c>
      <c r="F82" s="8">
        <v>2.0099999999999998</v>
      </c>
      <c r="G82" s="9">
        <v>3.66</v>
      </c>
    </row>
    <row r="83" spans="1:7" x14ac:dyDescent="0.25">
      <c r="A83" s="10">
        <v>44643</v>
      </c>
      <c r="B83" s="11">
        <v>0.22893518518518519</v>
      </c>
      <c r="C83" s="11">
        <v>0.74686342592592592</v>
      </c>
      <c r="D83" s="12">
        <v>0</v>
      </c>
      <c r="E83" s="12">
        <v>12.04</v>
      </c>
      <c r="F83" s="12">
        <v>3.72</v>
      </c>
      <c r="G83" s="13">
        <v>1.59</v>
      </c>
    </row>
    <row r="84" spans="1:7" x14ac:dyDescent="0.25">
      <c r="A84" s="6">
        <v>44644</v>
      </c>
      <c r="B84" s="7">
        <v>0.2273148148148148</v>
      </c>
      <c r="C84" s="7">
        <v>0.74806712962962962</v>
      </c>
      <c r="D84" s="8">
        <v>0</v>
      </c>
      <c r="E84" s="8">
        <v>12.54</v>
      </c>
      <c r="F84" s="8">
        <v>3.69</v>
      </c>
      <c r="G84" s="9">
        <v>1.05</v>
      </c>
    </row>
    <row r="85" spans="1:7" x14ac:dyDescent="0.25">
      <c r="A85" s="10">
        <v>44645</v>
      </c>
      <c r="B85" s="11">
        <v>0.22569444444444445</v>
      </c>
      <c r="C85" s="11">
        <v>0.74928240740740737</v>
      </c>
      <c r="D85" s="12">
        <v>3</v>
      </c>
      <c r="E85" s="12">
        <v>3.96</v>
      </c>
      <c r="F85" s="12">
        <v>2.59</v>
      </c>
      <c r="G85" s="13">
        <v>3.5</v>
      </c>
    </row>
    <row r="86" spans="1:7" x14ac:dyDescent="0.25">
      <c r="A86" s="6">
        <v>44646</v>
      </c>
      <c r="B86" s="7">
        <v>0.2240625</v>
      </c>
      <c r="C86" s="7">
        <v>0.75048611111111108</v>
      </c>
      <c r="D86" s="8">
        <v>0</v>
      </c>
      <c r="E86" s="8">
        <v>12.15</v>
      </c>
      <c r="F86" s="8">
        <v>3.61</v>
      </c>
      <c r="G86" s="9">
        <v>0.86</v>
      </c>
    </row>
    <row r="87" spans="1:7" x14ac:dyDescent="0.25">
      <c r="A87" s="10">
        <v>44647</v>
      </c>
      <c r="B87" s="11">
        <v>0.2641087962962963</v>
      </c>
      <c r="C87" s="11">
        <v>0.79335648148148152</v>
      </c>
      <c r="D87" s="12">
        <v>0</v>
      </c>
      <c r="E87" s="12">
        <v>10.83</v>
      </c>
      <c r="F87" s="12">
        <v>3.78</v>
      </c>
      <c r="G87" s="13">
        <v>2.4700000000000002</v>
      </c>
    </row>
    <row r="88" spans="1:7" x14ac:dyDescent="0.25">
      <c r="A88" s="6">
        <v>44648</v>
      </c>
      <c r="B88" s="7">
        <v>0.26248842592592592</v>
      </c>
      <c r="C88" s="7">
        <v>0.79456018518518523</v>
      </c>
      <c r="D88" s="8">
        <v>4</v>
      </c>
      <c r="E88" s="8">
        <v>4.42</v>
      </c>
      <c r="F88" s="8">
        <v>3.15</v>
      </c>
      <c r="G88" s="9">
        <v>3.62</v>
      </c>
    </row>
    <row r="89" spans="1:7" x14ac:dyDescent="0.25">
      <c r="A89" s="10">
        <v>44649</v>
      </c>
      <c r="B89" s="11">
        <v>0.26086805555555553</v>
      </c>
      <c r="C89" s="11">
        <v>0.79575231481481479</v>
      </c>
      <c r="D89" s="12">
        <v>7</v>
      </c>
      <c r="E89" s="12">
        <v>1.83</v>
      </c>
      <c r="F89" s="12">
        <v>0.6</v>
      </c>
      <c r="G89" s="13">
        <v>2.89</v>
      </c>
    </row>
    <row r="90" spans="1:7" x14ac:dyDescent="0.25">
      <c r="A90" s="6">
        <v>44650</v>
      </c>
      <c r="B90" s="7">
        <v>0.25924768518518521</v>
      </c>
      <c r="C90" s="7">
        <v>0.79695601851851849</v>
      </c>
      <c r="D90" s="8">
        <v>0</v>
      </c>
      <c r="E90" s="8">
        <v>10.86</v>
      </c>
      <c r="F90" s="8">
        <v>3.24</v>
      </c>
      <c r="G90" s="9">
        <v>1.57</v>
      </c>
    </row>
    <row r="91" spans="1:7" x14ac:dyDescent="0.25">
      <c r="A91" s="10">
        <v>44651</v>
      </c>
      <c r="B91" s="11">
        <v>0.25763888888888886</v>
      </c>
      <c r="C91" s="11">
        <v>0.7981597222222222</v>
      </c>
      <c r="D91" s="12">
        <v>0</v>
      </c>
      <c r="E91" s="12">
        <v>10.73</v>
      </c>
      <c r="F91" s="12">
        <v>3.02</v>
      </c>
      <c r="G91" s="13">
        <v>2.14</v>
      </c>
    </row>
    <row r="92" spans="1:7" x14ac:dyDescent="0.25">
      <c r="A92" s="6">
        <v>44652</v>
      </c>
      <c r="B92" s="7">
        <v>0.25601851851851853</v>
      </c>
      <c r="C92" s="7">
        <v>0.79936342592592591</v>
      </c>
      <c r="D92" s="8">
        <v>3</v>
      </c>
      <c r="E92" s="8">
        <v>5.21</v>
      </c>
      <c r="F92" s="8">
        <v>2.46</v>
      </c>
      <c r="G92" s="9">
        <v>2.89</v>
      </c>
    </row>
    <row r="93" spans="1:7" x14ac:dyDescent="0.25">
      <c r="A93" s="10">
        <v>44653</v>
      </c>
      <c r="B93" s="11">
        <v>0.25440972222222225</v>
      </c>
      <c r="C93" s="11">
        <v>0.80055555555555558</v>
      </c>
      <c r="D93" s="12">
        <v>0</v>
      </c>
      <c r="E93" s="12">
        <v>11.83</v>
      </c>
      <c r="F93" s="12">
        <v>3.14</v>
      </c>
      <c r="G93" s="13">
        <v>1.08</v>
      </c>
    </row>
    <row r="94" spans="1:7" x14ac:dyDescent="0.25">
      <c r="A94" s="6">
        <v>44654</v>
      </c>
      <c r="B94" s="7">
        <v>0.2528009259259259</v>
      </c>
      <c r="C94" s="7">
        <v>0.80175925925925928</v>
      </c>
      <c r="D94" s="8">
        <v>6</v>
      </c>
      <c r="E94" s="8">
        <v>2.3199999999999998</v>
      </c>
      <c r="F94" s="8">
        <v>1.08</v>
      </c>
      <c r="G94" s="9">
        <v>4.09</v>
      </c>
    </row>
    <row r="95" spans="1:7" x14ac:dyDescent="0.25">
      <c r="A95" s="10">
        <v>44655</v>
      </c>
      <c r="B95" s="11">
        <v>0.25120370370370371</v>
      </c>
      <c r="C95" s="11">
        <v>0.80296296296296299</v>
      </c>
      <c r="D95" s="12">
        <v>2</v>
      </c>
      <c r="E95" s="12">
        <v>6.34</v>
      </c>
      <c r="F95" s="12">
        <v>3.25</v>
      </c>
      <c r="G95" s="13">
        <v>2.0099999999999998</v>
      </c>
    </row>
    <row r="96" spans="1:7" x14ac:dyDescent="0.25">
      <c r="A96" s="6">
        <v>44656</v>
      </c>
      <c r="B96" s="7">
        <v>0.24959490740740742</v>
      </c>
      <c r="C96" s="7">
        <v>0.80415509259259255</v>
      </c>
      <c r="D96" s="8">
        <v>4</v>
      </c>
      <c r="E96" s="8">
        <v>4.87</v>
      </c>
      <c r="F96" s="8">
        <v>1.47</v>
      </c>
      <c r="G96" s="9">
        <v>1.86</v>
      </c>
    </row>
    <row r="97" spans="1:7" x14ac:dyDescent="0.25">
      <c r="A97" s="10">
        <v>44657</v>
      </c>
      <c r="B97" s="11">
        <v>0.24800925925925926</v>
      </c>
      <c r="C97" s="11">
        <v>0.80535879629629625</v>
      </c>
      <c r="D97" s="12">
        <v>4</v>
      </c>
      <c r="E97" s="12">
        <v>3.57</v>
      </c>
      <c r="F97" s="12">
        <v>0.16</v>
      </c>
      <c r="G97" s="13">
        <v>2.94</v>
      </c>
    </row>
    <row r="98" spans="1:7" x14ac:dyDescent="0.25">
      <c r="A98" s="6">
        <v>44658</v>
      </c>
      <c r="B98" s="7">
        <v>0.24641203703703704</v>
      </c>
      <c r="C98" s="7">
        <v>0.80656249999999996</v>
      </c>
      <c r="D98" s="8">
        <v>2</v>
      </c>
      <c r="E98" s="8">
        <v>6.61</v>
      </c>
      <c r="F98" s="8">
        <v>2.5099999999999998</v>
      </c>
      <c r="G98" s="9">
        <v>1.34</v>
      </c>
    </row>
    <row r="99" spans="1:7" x14ac:dyDescent="0.25">
      <c r="A99" s="10">
        <v>44659</v>
      </c>
      <c r="B99" s="11">
        <v>0.24482638888888889</v>
      </c>
      <c r="C99" s="11">
        <v>0.80775462962962963</v>
      </c>
      <c r="D99" s="12">
        <v>0</v>
      </c>
      <c r="E99" s="12">
        <v>14.15</v>
      </c>
      <c r="F99" s="12">
        <v>3.32</v>
      </c>
      <c r="G99" s="13">
        <v>1.82</v>
      </c>
    </row>
    <row r="100" spans="1:7" x14ac:dyDescent="0.25">
      <c r="A100" s="6">
        <v>44660</v>
      </c>
      <c r="B100" s="7">
        <v>0.24325231481481482</v>
      </c>
      <c r="C100" s="7">
        <v>0.80895833333333333</v>
      </c>
      <c r="D100" s="8">
        <v>0</v>
      </c>
      <c r="E100" s="8">
        <v>10.3</v>
      </c>
      <c r="F100" s="8">
        <v>3.31</v>
      </c>
      <c r="G100" s="9">
        <v>4.1500000000000004</v>
      </c>
    </row>
    <row r="101" spans="1:7" x14ac:dyDescent="0.25">
      <c r="A101" s="10">
        <v>44661</v>
      </c>
      <c r="B101" s="11">
        <v>0.24167824074074074</v>
      </c>
      <c r="C101" s="11">
        <v>0.81016203703703704</v>
      </c>
      <c r="D101" s="12">
        <v>0</v>
      </c>
      <c r="E101" s="12">
        <v>10.039999999999999</v>
      </c>
      <c r="F101" s="12">
        <v>3.85</v>
      </c>
      <c r="G101" s="13">
        <v>3.16</v>
      </c>
    </row>
    <row r="102" spans="1:7" x14ac:dyDescent="0.25">
      <c r="A102" s="6">
        <v>44662</v>
      </c>
      <c r="B102" s="7">
        <v>0.24010416666666667</v>
      </c>
      <c r="C102" s="7">
        <v>0.81135416666666671</v>
      </c>
      <c r="D102" s="8">
        <v>4</v>
      </c>
      <c r="E102" s="8">
        <v>3.82</v>
      </c>
      <c r="F102" s="8">
        <v>1.64</v>
      </c>
      <c r="G102" s="9">
        <v>3.12</v>
      </c>
    </row>
    <row r="103" spans="1:7" x14ac:dyDescent="0.25">
      <c r="A103" s="10">
        <v>44663</v>
      </c>
      <c r="B103" s="11">
        <v>0.23854166666666668</v>
      </c>
      <c r="C103" s="11">
        <v>0.81255787037037042</v>
      </c>
      <c r="D103" s="12">
        <v>1</v>
      </c>
      <c r="E103" s="12">
        <v>7.92</v>
      </c>
      <c r="F103" s="12">
        <v>3.79</v>
      </c>
      <c r="G103" s="13">
        <v>3.05</v>
      </c>
    </row>
    <row r="104" spans="1:7" x14ac:dyDescent="0.25">
      <c r="A104" s="6">
        <v>44664</v>
      </c>
      <c r="B104" s="7">
        <v>0.23699074074074075</v>
      </c>
      <c r="C104" s="7">
        <v>0.81376157407407412</v>
      </c>
      <c r="D104" s="8">
        <v>1</v>
      </c>
      <c r="E104" s="8">
        <v>7.5</v>
      </c>
      <c r="F104" s="8">
        <v>3.12</v>
      </c>
      <c r="G104" s="9">
        <v>2.94</v>
      </c>
    </row>
    <row r="105" spans="1:7" x14ac:dyDescent="0.25">
      <c r="A105" s="10">
        <v>44665</v>
      </c>
      <c r="B105" s="11">
        <v>0.23543981481481482</v>
      </c>
      <c r="C105" s="11">
        <v>0.81495370370370368</v>
      </c>
      <c r="D105" s="12">
        <v>0</v>
      </c>
      <c r="E105" s="12">
        <v>12.58</v>
      </c>
      <c r="F105" s="12">
        <v>3.42</v>
      </c>
      <c r="G105" s="13">
        <v>2.0499999999999998</v>
      </c>
    </row>
    <row r="106" spans="1:7" x14ac:dyDescent="0.25">
      <c r="A106" s="6">
        <v>44666</v>
      </c>
      <c r="B106" s="7">
        <v>0.23390046296296296</v>
      </c>
      <c r="C106" s="7">
        <v>0.81615740740740739</v>
      </c>
      <c r="D106" s="8">
        <v>2</v>
      </c>
      <c r="E106" s="8">
        <v>7.66</v>
      </c>
      <c r="F106" s="8">
        <v>3.41</v>
      </c>
      <c r="G106" s="9">
        <v>1.68</v>
      </c>
    </row>
    <row r="107" spans="1:7" x14ac:dyDescent="0.25">
      <c r="A107" s="10">
        <v>44667</v>
      </c>
      <c r="B107" s="11">
        <v>0.2323726851851852</v>
      </c>
      <c r="C107" s="11">
        <v>0.81736111111111109</v>
      </c>
      <c r="D107" s="12">
        <v>4</v>
      </c>
      <c r="E107" s="12">
        <v>4.16</v>
      </c>
      <c r="F107" s="12">
        <v>1.58</v>
      </c>
      <c r="G107" s="13">
        <v>2.89</v>
      </c>
    </row>
    <row r="108" spans="1:7" x14ac:dyDescent="0.25">
      <c r="A108" s="6">
        <v>44668</v>
      </c>
      <c r="B108" s="7">
        <v>0.2308449074074074</v>
      </c>
      <c r="C108" s="7">
        <v>0.8185648148148148</v>
      </c>
      <c r="D108" s="8">
        <v>6</v>
      </c>
      <c r="E108" s="8">
        <v>2.34</v>
      </c>
      <c r="F108" s="8">
        <v>1.06</v>
      </c>
      <c r="G108" s="9">
        <v>2.46</v>
      </c>
    </row>
    <row r="109" spans="1:7" x14ac:dyDescent="0.25">
      <c r="A109" s="10">
        <v>44669</v>
      </c>
      <c r="B109" s="11">
        <v>0.22934027777777777</v>
      </c>
      <c r="C109" s="11">
        <v>0.81975694444444447</v>
      </c>
      <c r="D109" s="12">
        <v>6</v>
      </c>
      <c r="E109" s="12">
        <v>2.42</v>
      </c>
      <c r="F109" s="12">
        <v>1.24</v>
      </c>
      <c r="G109" s="13">
        <v>2.97</v>
      </c>
    </row>
    <row r="110" spans="1:7" x14ac:dyDescent="0.25">
      <c r="A110" s="6">
        <v>44670</v>
      </c>
      <c r="B110" s="7">
        <v>0.22783564814814813</v>
      </c>
      <c r="C110" s="7">
        <v>0.82096064814814818</v>
      </c>
      <c r="D110" s="8">
        <v>4</v>
      </c>
      <c r="E110" s="8">
        <v>3.78</v>
      </c>
      <c r="F110" s="8">
        <v>2.0699999999999998</v>
      </c>
      <c r="G110" s="9">
        <v>2.93</v>
      </c>
    </row>
    <row r="111" spans="1:7" x14ac:dyDescent="0.25">
      <c r="A111" s="10">
        <v>44671</v>
      </c>
      <c r="B111" s="11">
        <v>0.2263425925925926</v>
      </c>
      <c r="C111" s="11">
        <v>0.82215277777777773</v>
      </c>
      <c r="D111" s="12">
        <v>1</v>
      </c>
      <c r="E111" s="12">
        <v>7.54</v>
      </c>
      <c r="F111" s="12">
        <v>2.57</v>
      </c>
      <c r="G111" s="13">
        <v>2.06</v>
      </c>
    </row>
    <row r="112" spans="1:7" x14ac:dyDescent="0.25">
      <c r="A112" s="6">
        <v>44672</v>
      </c>
      <c r="B112" s="7">
        <v>0.22486111111111112</v>
      </c>
      <c r="C112" s="7">
        <v>0.82335648148148144</v>
      </c>
      <c r="D112" s="8">
        <v>0</v>
      </c>
      <c r="E112" s="8">
        <v>13.18</v>
      </c>
      <c r="F112" s="8">
        <v>3.56</v>
      </c>
      <c r="G112" s="9">
        <v>2.02</v>
      </c>
    </row>
    <row r="113" spans="1:7" x14ac:dyDescent="0.25">
      <c r="A113" s="10">
        <v>44673</v>
      </c>
      <c r="B113" s="11">
        <v>0.22337962962962962</v>
      </c>
      <c r="C113" s="11">
        <v>0.82456018518518515</v>
      </c>
      <c r="D113" s="12">
        <v>5</v>
      </c>
      <c r="E113" s="12">
        <v>2.54</v>
      </c>
      <c r="F113" s="12">
        <v>0.68</v>
      </c>
      <c r="G113" s="13">
        <v>3.58</v>
      </c>
    </row>
    <row r="114" spans="1:7" x14ac:dyDescent="0.25">
      <c r="A114" s="6">
        <v>44674</v>
      </c>
      <c r="B114" s="7">
        <v>0.22192129629629628</v>
      </c>
      <c r="C114" s="7">
        <v>0.82575231481481481</v>
      </c>
      <c r="D114" s="8">
        <v>0</v>
      </c>
      <c r="E114" s="8">
        <v>10.62</v>
      </c>
      <c r="F114" s="8">
        <v>3.13</v>
      </c>
      <c r="G114" s="9">
        <v>2.0699999999999998</v>
      </c>
    </row>
    <row r="115" spans="1:7" x14ac:dyDescent="0.25">
      <c r="A115" s="10">
        <v>44675</v>
      </c>
      <c r="B115" s="11">
        <v>0.22047453703703704</v>
      </c>
      <c r="C115" s="11">
        <v>0.82694444444444448</v>
      </c>
      <c r="D115" s="12">
        <v>0</v>
      </c>
      <c r="E115" s="12">
        <v>13.23</v>
      </c>
      <c r="F115" s="12">
        <v>3.2</v>
      </c>
      <c r="G115" s="13">
        <v>0.56000000000000005</v>
      </c>
    </row>
    <row r="116" spans="1:7" x14ac:dyDescent="0.25">
      <c r="A116" s="6">
        <v>44676</v>
      </c>
      <c r="B116" s="7">
        <v>0.21903935185185186</v>
      </c>
      <c r="C116" s="7">
        <v>0.82814814814814819</v>
      </c>
      <c r="D116" s="8">
        <v>6</v>
      </c>
      <c r="E116" s="8">
        <v>3.09</v>
      </c>
      <c r="F116" s="8">
        <v>1.32</v>
      </c>
      <c r="G116" s="9">
        <v>3.52</v>
      </c>
    </row>
    <row r="117" spans="1:7" x14ac:dyDescent="0.25">
      <c r="A117" s="10">
        <v>44677</v>
      </c>
      <c r="B117" s="11">
        <v>0.21761574074074075</v>
      </c>
      <c r="C117" s="11">
        <v>0.82934027777777775</v>
      </c>
      <c r="D117" s="12">
        <v>2</v>
      </c>
      <c r="E117" s="12">
        <v>5.84</v>
      </c>
      <c r="F117" s="12">
        <v>2.5099999999999998</v>
      </c>
      <c r="G117" s="13">
        <v>1.33</v>
      </c>
    </row>
    <row r="118" spans="1:7" x14ac:dyDescent="0.25">
      <c r="A118" s="6">
        <v>44678</v>
      </c>
      <c r="B118" s="7">
        <v>0.2162037037037037</v>
      </c>
      <c r="C118" s="7">
        <v>0.83053240740740741</v>
      </c>
      <c r="D118" s="8">
        <v>2</v>
      </c>
      <c r="E118" s="8">
        <v>6.08</v>
      </c>
      <c r="F118" s="8">
        <v>2.34</v>
      </c>
      <c r="G118" s="9">
        <v>1.65</v>
      </c>
    </row>
    <row r="119" spans="1:7" x14ac:dyDescent="0.25">
      <c r="A119" s="10">
        <v>44679</v>
      </c>
      <c r="B119" s="11">
        <v>0.21480324074074075</v>
      </c>
      <c r="C119" s="11">
        <v>0.83171296296296293</v>
      </c>
      <c r="D119" s="12">
        <v>6</v>
      </c>
      <c r="E119" s="12">
        <v>3.61</v>
      </c>
      <c r="F119" s="12">
        <v>1.32</v>
      </c>
      <c r="G119" s="13">
        <v>2.14</v>
      </c>
    </row>
    <row r="120" spans="1:7" x14ac:dyDescent="0.25">
      <c r="A120" s="6">
        <v>44680</v>
      </c>
      <c r="B120" s="7">
        <v>0.21342592592592594</v>
      </c>
      <c r="C120" s="7">
        <v>0.8329050925925926</v>
      </c>
      <c r="D120" s="8">
        <v>1</v>
      </c>
      <c r="E120" s="8">
        <v>9.2799999999999994</v>
      </c>
      <c r="F120" s="8">
        <v>3.62</v>
      </c>
      <c r="G120" s="9">
        <v>2.17</v>
      </c>
    </row>
    <row r="121" spans="1:7" x14ac:dyDescent="0.25">
      <c r="A121" s="10">
        <v>44681</v>
      </c>
      <c r="B121" s="11">
        <v>0.21206018518518518</v>
      </c>
      <c r="C121" s="11">
        <v>0.83408564814814812</v>
      </c>
      <c r="D121" s="12">
        <v>5</v>
      </c>
      <c r="E121" s="12">
        <v>4.6900000000000004</v>
      </c>
      <c r="F121" s="12">
        <v>3.21</v>
      </c>
      <c r="G121" s="13">
        <v>2.9</v>
      </c>
    </row>
    <row r="122" spans="1:7" x14ac:dyDescent="0.25">
      <c r="A122" s="6">
        <v>44682</v>
      </c>
      <c r="B122" s="7">
        <v>0.21070601851851853</v>
      </c>
      <c r="C122" s="7">
        <v>0.83526620370370375</v>
      </c>
      <c r="D122" s="8">
        <v>3</v>
      </c>
      <c r="E122" s="8">
        <v>4.0999999999999996</v>
      </c>
      <c r="F122" s="8">
        <v>2.16</v>
      </c>
      <c r="G122" s="9">
        <v>3.12</v>
      </c>
    </row>
    <row r="123" spans="1:7" x14ac:dyDescent="0.25">
      <c r="A123" s="10">
        <v>44683</v>
      </c>
      <c r="B123" s="11">
        <v>0.20936342592592594</v>
      </c>
      <c r="C123" s="11">
        <v>0.83644675925925926</v>
      </c>
      <c r="D123" s="12">
        <v>0</v>
      </c>
      <c r="E123" s="12">
        <v>12.23</v>
      </c>
      <c r="F123" s="12">
        <v>3.94</v>
      </c>
      <c r="G123" s="13">
        <v>2.0099999999999998</v>
      </c>
    </row>
    <row r="124" spans="1:7" x14ac:dyDescent="0.25">
      <c r="A124" s="6">
        <v>44684</v>
      </c>
      <c r="B124" s="7">
        <v>0.20804398148148148</v>
      </c>
      <c r="C124" s="7">
        <v>0.83762731481481478</v>
      </c>
      <c r="D124" s="8">
        <v>3</v>
      </c>
      <c r="E124" s="8">
        <v>5.28</v>
      </c>
      <c r="F124" s="8">
        <v>2.87</v>
      </c>
      <c r="G124" s="9">
        <v>2.58</v>
      </c>
    </row>
    <row r="125" spans="1:7" x14ac:dyDescent="0.25">
      <c r="A125" s="10">
        <v>44685</v>
      </c>
      <c r="B125" s="11">
        <v>0.20673611111111112</v>
      </c>
      <c r="C125" s="11">
        <v>0.83879629629629626</v>
      </c>
      <c r="D125" s="12">
        <v>0</v>
      </c>
      <c r="E125" s="12">
        <v>13.63</v>
      </c>
      <c r="F125" s="12">
        <v>3.27</v>
      </c>
      <c r="G125" s="13">
        <v>0.93</v>
      </c>
    </row>
    <row r="126" spans="1:7" x14ac:dyDescent="0.25">
      <c r="A126" s="6">
        <v>44686</v>
      </c>
      <c r="B126" s="7">
        <v>0.20545138888888889</v>
      </c>
      <c r="C126" s="7">
        <v>0.8399537037037037</v>
      </c>
      <c r="D126" s="8">
        <v>0</v>
      </c>
      <c r="E126" s="8">
        <v>13.36</v>
      </c>
      <c r="F126" s="8">
        <v>3.91</v>
      </c>
      <c r="G126" s="9">
        <v>1.56</v>
      </c>
    </row>
    <row r="127" spans="1:7" x14ac:dyDescent="0.25">
      <c r="A127" s="10">
        <v>44687</v>
      </c>
      <c r="B127" s="11">
        <v>0.20418981481481482</v>
      </c>
      <c r="C127" s="11">
        <v>0.84112268518518518</v>
      </c>
      <c r="D127" s="12">
        <v>1</v>
      </c>
      <c r="E127" s="12">
        <v>8.76</v>
      </c>
      <c r="F127" s="12">
        <v>3.15</v>
      </c>
      <c r="G127" s="13">
        <v>1.42</v>
      </c>
    </row>
    <row r="128" spans="1:7" x14ac:dyDescent="0.25">
      <c r="A128" s="6">
        <v>44688</v>
      </c>
      <c r="B128" s="7">
        <v>0.20293981481481482</v>
      </c>
      <c r="C128" s="7">
        <v>0.84226851851851847</v>
      </c>
      <c r="D128" s="8">
        <v>2</v>
      </c>
      <c r="E128" s="8">
        <v>5.66</v>
      </c>
      <c r="F128" s="8">
        <v>4.2</v>
      </c>
      <c r="G128" s="9">
        <v>2.94</v>
      </c>
    </row>
    <row r="129" spans="1:7" x14ac:dyDescent="0.25">
      <c r="A129" s="10">
        <v>44689</v>
      </c>
      <c r="B129" s="11">
        <v>0.20170138888888889</v>
      </c>
      <c r="C129" s="11">
        <v>0.84342592592592591</v>
      </c>
      <c r="D129" s="12">
        <v>2</v>
      </c>
      <c r="E129" s="12">
        <v>6.84</v>
      </c>
      <c r="F129" s="12">
        <v>4.38</v>
      </c>
      <c r="G129" s="13">
        <v>2.0499999999999998</v>
      </c>
    </row>
    <row r="130" spans="1:7" x14ac:dyDescent="0.25">
      <c r="A130" s="6">
        <v>44690</v>
      </c>
      <c r="B130" s="7">
        <v>0.20049768518518518</v>
      </c>
      <c r="C130" s="7">
        <v>0.84456018518518516</v>
      </c>
      <c r="D130" s="8">
        <v>7</v>
      </c>
      <c r="E130" s="8">
        <v>2.89</v>
      </c>
      <c r="F130" s="8">
        <v>0.59</v>
      </c>
      <c r="G130" s="9">
        <v>2.19</v>
      </c>
    </row>
    <row r="131" spans="1:7" x14ac:dyDescent="0.25">
      <c r="A131" s="10">
        <v>44691</v>
      </c>
      <c r="B131" s="11">
        <v>0.19930555555555557</v>
      </c>
      <c r="C131" s="11">
        <v>0.84570601851851857</v>
      </c>
      <c r="D131" s="12">
        <v>3</v>
      </c>
      <c r="E131" s="12">
        <v>5.65</v>
      </c>
      <c r="F131" s="12">
        <v>3.89</v>
      </c>
      <c r="G131" s="13">
        <v>3.4</v>
      </c>
    </row>
    <row r="132" spans="1:7" x14ac:dyDescent="0.25">
      <c r="A132" s="6">
        <v>44692</v>
      </c>
      <c r="B132" s="7">
        <v>0.19813657407407406</v>
      </c>
      <c r="C132" s="7">
        <v>0.84682870370370367</v>
      </c>
      <c r="D132" s="8">
        <v>1</v>
      </c>
      <c r="E132" s="8">
        <v>8.83</v>
      </c>
      <c r="F132" s="8">
        <v>3.04</v>
      </c>
      <c r="G132" s="9">
        <v>2.06</v>
      </c>
    </row>
    <row r="133" spans="1:7" x14ac:dyDescent="0.25">
      <c r="A133" s="10">
        <v>44693</v>
      </c>
      <c r="B133" s="11">
        <v>0.19699074074074074</v>
      </c>
      <c r="C133" s="11">
        <v>0.84795138888888888</v>
      </c>
      <c r="D133" s="12">
        <v>0</v>
      </c>
      <c r="E133" s="12">
        <v>12.14</v>
      </c>
      <c r="F133" s="12">
        <v>5.23</v>
      </c>
      <c r="G133" s="13">
        <v>3.48</v>
      </c>
    </row>
    <row r="134" spans="1:7" x14ac:dyDescent="0.25">
      <c r="A134" s="6">
        <v>44694</v>
      </c>
      <c r="B134" s="7">
        <v>0.19585648148148149</v>
      </c>
      <c r="C134" s="7">
        <v>0.84906250000000005</v>
      </c>
      <c r="D134" s="8">
        <v>1</v>
      </c>
      <c r="E134" s="8">
        <v>14.36</v>
      </c>
      <c r="F134" s="8">
        <v>6.3</v>
      </c>
      <c r="G134" s="9">
        <v>1.57</v>
      </c>
    </row>
    <row r="135" spans="1:7" x14ac:dyDescent="0.25">
      <c r="A135" s="10">
        <v>44695</v>
      </c>
      <c r="B135" s="11">
        <v>0.19475694444444444</v>
      </c>
      <c r="C135" s="11">
        <v>0.85016203703703708</v>
      </c>
      <c r="D135" s="12">
        <v>8</v>
      </c>
      <c r="E135" s="12">
        <v>1.1299999999999999</v>
      </c>
      <c r="F135" s="12">
        <v>0.66</v>
      </c>
      <c r="G135" s="13">
        <v>3.45</v>
      </c>
    </row>
    <row r="136" spans="1:7" x14ac:dyDescent="0.25">
      <c r="A136" s="6">
        <v>44696</v>
      </c>
      <c r="B136" s="7">
        <v>0.19368055555555555</v>
      </c>
      <c r="C136" s="7">
        <v>0.85124999999999995</v>
      </c>
      <c r="D136" s="8">
        <v>1</v>
      </c>
      <c r="E136" s="8">
        <v>10.59</v>
      </c>
      <c r="F136" s="8">
        <v>4.34</v>
      </c>
      <c r="G136" s="9">
        <v>2.6</v>
      </c>
    </row>
    <row r="137" spans="1:7" x14ac:dyDescent="0.25">
      <c r="A137" s="10">
        <v>44697</v>
      </c>
      <c r="B137" s="11">
        <v>0.19262731481481482</v>
      </c>
      <c r="C137" s="11">
        <v>0.8523263888888889</v>
      </c>
      <c r="D137" s="12">
        <v>0</v>
      </c>
      <c r="E137" s="12">
        <v>16.309999999999999</v>
      </c>
      <c r="F137" s="12">
        <v>5.36</v>
      </c>
      <c r="G137" s="13">
        <v>1.89</v>
      </c>
    </row>
    <row r="138" spans="1:7" x14ac:dyDescent="0.25">
      <c r="A138" s="6">
        <v>44698</v>
      </c>
      <c r="B138" s="7">
        <v>0.19158564814814816</v>
      </c>
      <c r="C138" s="7">
        <v>0.85340277777777773</v>
      </c>
      <c r="D138" s="8">
        <v>0</v>
      </c>
      <c r="E138" s="8">
        <v>14.39</v>
      </c>
      <c r="F138" s="8">
        <v>5.34</v>
      </c>
      <c r="G138" s="9">
        <v>1.1399999999999999</v>
      </c>
    </row>
    <row r="139" spans="1:7" x14ac:dyDescent="0.25">
      <c r="A139" s="10">
        <v>44699</v>
      </c>
      <c r="B139" s="11">
        <v>0.19059027777777779</v>
      </c>
      <c r="C139" s="11">
        <v>0.85445601851851849</v>
      </c>
      <c r="D139" s="12">
        <v>0</v>
      </c>
      <c r="E139" s="12">
        <v>15.29</v>
      </c>
      <c r="F139" s="12">
        <v>4.59</v>
      </c>
      <c r="G139" s="13">
        <v>1.27</v>
      </c>
    </row>
    <row r="140" spans="1:7" x14ac:dyDescent="0.25">
      <c r="A140" s="6">
        <v>44700</v>
      </c>
      <c r="B140" s="7">
        <v>0.18960648148148149</v>
      </c>
      <c r="C140" s="7">
        <v>0.85549768518518521</v>
      </c>
      <c r="D140" s="8">
        <v>5</v>
      </c>
      <c r="E140" s="8">
        <v>5.77</v>
      </c>
      <c r="F140" s="8">
        <v>2.58</v>
      </c>
      <c r="G140" s="9">
        <v>1.1599999999999999</v>
      </c>
    </row>
    <row r="141" spans="1:7" x14ac:dyDescent="0.25">
      <c r="A141" s="10">
        <v>44701</v>
      </c>
      <c r="B141" s="11">
        <v>0.18864583333333335</v>
      </c>
      <c r="C141" s="11">
        <v>0.85652777777777778</v>
      </c>
      <c r="D141" s="12">
        <v>3</v>
      </c>
      <c r="E141" s="12">
        <v>6.62</v>
      </c>
      <c r="F141" s="12">
        <v>4.3</v>
      </c>
      <c r="G141" s="13">
        <v>2.2799999999999998</v>
      </c>
    </row>
    <row r="142" spans="1:7" x14ac:dyDescent="0.25">
      <c r="A142" s="6">
        <v>44702</v>
      </c>
      <c r="B142" s="7">
        <v>0.1877199074074074</v>
      </c>
      <c r="C142" s="7">
        <v>0.85754629629629631</v>
      </c>
      <c r="D142" s="8">
        <v>2</v>
      </c>
      <c r="E142" s="8">
        <v>5.03</v>
      </c>
      <c r="F142" s="8">
        <v>2.81</v>
      </c>
      <c r="G142" s="9">
        <v>3.05</v>
      </c>
    </row>
    <row r="143" spans="1:7" x14ac:dyDescent="0.25">
      <c r="A143" s="10">
        <v>44703</v>
      </c>
      <c r="B143" s="11">
        <v>0.18682870370370369</v>
      </c>
      <c r="C143" s="11">
        <v>0.85854166666666665</v>
      </c>
      <c r="D143" s="12">
        <v>0</v>
      </c>
      <c r="E143" s="12">
        <v>14.1</v>
      </c>
      <c r="F143" s="12">
        <v>4.04</v>
      </c>
      <c r="G143" s="13">
        <v>2.86</v>
      </c>
    </row>
    <row r="144" spans="1:7" x14ac:dyDescent="0.25">
      <c r="A144" s="6">
        <v>44704</v>
      </c>
      <c r="B144" s="7">
        <v>0.18594907407407407</v>
      </c>
      <c r="C144" s="7">
        <v>0.85952546296296295</v>
      </c>
      <c r="D144" s="8">
        <v>8</v>
      </c>
      <c r="E144" s="8">
        <v>1.36</v>
      </c>
      <c r="F144" s="8">
        <v>0.57999999999999996</v>
      </c>
      <c r="G144" s="9">
        <v>4.95</v>
      </c>
    </row>
    <row r="145" spans="1:7" x14ac:dyDescent="0.25">
      <c r="A145" s="10">
        <v>44705</v>
      </c>
      <c r="B145" s="11">
        <v>0.18511574074074075</v>
      </c>
      <c r="C145" s="11">
        <v>0.86049768518518521</v>
      </c>
      <c r="D145" s="12">
        <v>8</v>
      </c>
      <c r="E145" s="12">
        <v>1.71</v>
      </c>
      <c r="F145" s="12">
        <v>0.14000000000000001</v>
      </c>
      <c r="G145" s="13">
        <v>3.51</v>
      </c>
    </row>
    <row r="146" spans="1:7" x14ac:dyDescent="0.25">
      <c r="A146" s="6">
        <v>44706</v>
      </c>
      <c r="B146" s="7">
        <v>0.18429398148148149</v>
      </c>
      <c r="C146" s="7">
        <v>0.86144675925925929</v>
      </c>
      <c r="D146" s="8">
        <v>6</v>
      </c>
      <c r="E146" s="8">
        <v>1.6</v>
      </c>
      <c r="F146" s="8">
        <v>0.94</v>
      </c>
      <c r="G146" s="9">
        <v>4.68</v>
      </c>
    </row>
    <row r="147" spans="1:7" x14ac:dyDescent="0.25">
      <c r="A147" s="10">
        <v>44707</v>
      </c>
      <c r="B147" s="11">
        <v>0.18351851851851853</v>
      </c>
      <c r="C147" s="11">
        <v>0.86237268518518517</v>
      </c>
      <c r="D147" s="12">
        <v>4</v>
      </c>
      <c r="E147" s="12">
        <v>2.0699999999999998</v>
      </c>
      <c r="F147" s="12">
        <v>1.05</v>
      </c>
      <c r="G147" s="13">
        <v>3.94</v>
      </c>
    </row>
    <row r="148" spans="1:7" x14ac:dyDescent="0.25">
      <c r="A148" s="6">
        <v>44708</v>
      </c>
      <c r="B148" s="7">
        <v>0.18276620370370369</v>
      </c>
      <c r="C148" s="7">
        <v>0.86328703703703702</v>
      </c>
      <c r="D148" s="8">
        <v>4</v>
      </c>
      <c r="E148" s="8">
        <v>2.96</v>
      </c>
      <c r="F148" s="8">
        <v>1.06</v>
      </c>
      <c r="G148" s="9">
        <v>3.59</v>
      </c>
    </row>
    <row r="149" spans="1:7" x14ac:dyDescent="0.25">
      <c r="A149" s="10">
        <v>44709</v>
      </c>
      <c r="B149" s="11">
        <v>0.18203703703703702</v>
      </c>
      <c r="C149" s="11">
        <v>0.86416666666666664</v>
      </c>
      <c r="D149" s="12">
        <v>3</v>
      </c>
      <c r="E149" s="12">
        <v>5.78</v>
      </c>
      <c r="F149" s="12">
        <v>4.2</v>
      </c>
      <c r="G149" s="13">
        <v>2.96</v>
      </c>
    </row>
    <row r="150" spans="1:7" x14ac:dyDescent="0.25">
      <c r="A150" s="6">
        <v>44710</v>
      </c>
      <c r="B150" s="7">
        <v>0.18135416666666668</v>
      </c>
      <c r="C150" s="7">
        <v>0.86504629629629626</v>
      </c>
      <c r="D150" s="8">
        <v>1</v>
      </c>
      <c r="E150" s="8">
        <v>15.38</v>
      </c>
      <c r="F150" s="8">
        <v>10.54</v>
      </c>
      <c r="G150" s="9">
        <v>2.16</v>
      </c>
    </row>
    <row r="151" spans="1:7" x14ac:dyDescent="0.25">
      <c r="A151" s="10">
        <v>44711</v>
      </c>
      <c r="B151" s="11">
        <v>0.18069444444444444</v>
      </c>
      <c r="C151" s="11">
        <v>0.86589120370370365</v>
      </c>
      <c r="D151" s="12">
        <v>1</v>
      </c>
      <c r="E151" s="12">
        <v>15.89</v>
      </c>
      <c r="F151" s="12">
        <v>9.68</v>
      </c>
      <c r="G151" s="13">
        <v>1.24</v>
      </c>
    </row>
    <row r="152" spans="1:7" x14ac:dyDescent="0.25">
      <c r="A152" s="6">
        <v>44712</v>
      </c>
      <c r="B152" s="7">
        <v>0.18006944444444445</v>
      </c>
      <c r="C152" s="7">
        <v>0.86671296296296296</v>
      </c>
      <c r="D152" s="8">
        <v>0</v>
      </c>
      <c r="E152" s="8">
        <v>18.7</v>
      </c>
      <c r="F152" s="8">
        <v>9.4</v>
      </c>
      <c r="G152" s="9">
        <v>0.39</v>
      </c>
    </row>
    <row r="153" spans="1:7" x14ac:dyDescent="0.25">
      <c r="A153" s="10">
        <v>44713</v>
      </c>
      <c r="B153" s="11">
        <v>0.17947916666666666</v>
      </c>
      <c r="C153" s="11">
        <v>0.86751157407407409</v>
      </c>
      <c r="D153" s="12">
        <v>0</v>
      </c>
      <c r="E153" s="12">
        <v>14.56</v>
      </c>
      <c r="F153" s="12">
        <v>3.3</v>
      </c>
      <c r="G153" s="13">
        <v>0.64</v>
      </c>
    </row>
    <row r="154" spans="1:7" x14ac:dyDescent="0.25">
      <c r="A154" s="6">
        <v>44714</v>
      </c>
      <c r="B154" s="7">
        <v>0.1789236111111111</v>
      </c>
      <c r="C154" s="7">
        <v>0.86828703703703702</v>
      </c>
      <c r="D154" s="8">
        <v>3</v>
      </c>
      <c r="E154" s="8">
        <v>5.87</v>
      </c>
      <c r="F154" s="8">
        <v>2.16</v>
      </c>
      <c r="G154" s="9">
        <v>2.14</v>
      </c>
    </row>
    <row r="155" spans="1:7" x14ac:dyDescent="0.25">
      <c r="A155" s="10">
        <v>44715</v>
      </c>
      <c r="B155" s="11">
        <v>0.17840277777777777</v>
      </c>
      <c r="C155" s="11">
        <v>0.86903935185185188</v>
      </c>
      <c r="D155" s="12">
        <v>0</v>
      </c>
      <c r="E155" s="12">
        <v>19.62</v>
      </c>
      <c r="F155" s="12">
        <v>9.23</v>
      </c>
      <c r="G155" s="13">
        <v>0.34</v>
      </c>
    </row>
    <row r="156" spans="1:7" x14ac:dyDescent="0.25">
      <c r="A156" s="6">
        <v>44716</v>
      </c>
      <c r="B156" s="7">
        <v>0.17791666666666667</v>
      </c>
      <c r="C156" s="7">
        <v>0.8697569444444444</v>
      </c>
      <c r="D156" s="8">
        <v>2</v>
      </c>
      <c r="E156" s="8">
        <v>5.79</v>
      </c>
      <c r="F156" s="8">
        <v>1.35</v>
      </c>
      <c r="G156" s="9">
        <v>1.1200000000000001</v>
      </c>
    </row>
    <row r="157" spans="1:7" x14ac:dyDescent="0.25">
      <c r="A157" s="10">
        <v>44717</v>
      </c>
      <c r="B157" s="11">
        <v>0.1774537037037037</v>
      </c>
      <c r="C157" s="11">
        <v>0.87045138888888884</v>
      </c>
      <c r="D157" s="12">
        <v>1</v>
      </c>
      <c r="E157" s="12">
        <v>10.67</v>
      </c>
      <c r="F157" s="12">
        <v>5.16</v>
      </c>
      <c r="G157" s="13">
        <v>2.68</v>
      </c>
    </row>
    <row r="158" spans="1:7" x14ac:dyDescent="0.25">
      <c r="A158" s="6">
        <v>44718</v>
      </c>
      <c r="B158" s="7">
        <v>0.17703703703703705</v>
      </c>
      <c r="C158" s="7">
        <v>0.87112268518518521</v>
      </c>
      <c r="D158" s="8">
        <v>0</v>
      </c>
      <c r="E158" s="8">
        <v>12.47</v>
      </c>
      <c r="F158" s="8">
        <v>3.15</v>
      </c>
      <c r="G158" s="9">
        <v>1.34</v>
      </c>
    </row>
    <row r="159" spans="1:7" x14ac:dyDescent="0.25">
      <c r="A159" s="10">
        <v>44719</v>
      </c>
      <c r="B159" s="11">
        <v>0.1766550925925926</v>
      </c>
      <c r="C159" s="11">
        <v>0.87175925925925923</v>
      </c>
      <c r="D159" s="12">
        <v>0</v>
      </c>
      <c r="E159" s="12">
        <v>19.79</v>
      </c>
      <c r="F159" s="12">
        <v>12.84</v>
      </c>
      <c r="G159" s="13">
        <v>3.5</v>
      </c>
    </row>
    <row r="160" spans="1:7" x14ac:dyDescent="0.25">
      <c r="A160" s="6">
        <v>44720</v>
      </c>
      <c r="B160" s="7">
        <v>0.17631944444444445</v>
      </c>
      <c r="C160" s="7">
        <v>0.87237268518518518</v>
      </c>
      <c r="D160" s="8">
        <v>0</v>
      </c>
      <c r="E160" s="8">
        <v>12.57</v>
      </c>
      <c r="F160" s="8">
        <v>6.64</v>
      </c>
      <c r="G160" s="9">
        <v>3.26</v>
      </c>
    </row>
    <row r="161" spans="1:7" x14ac:dyDescent="0.25">
      <c r="A161" s="10">
        <v>44721</v>
      </c>
      <c r="B161" s="11">
        <v>0.17600694444444445</v>
      </c>
      <c r="C161" s="11">
        <v>0.8729513888888889</v>
      </c>
      <c r="D161" s="12">
        <v>4</v>
      </c>
      <c r="E161" s="12">
        <v>4.3</v>
      </c>
      <c r="F161" s="12">
        <v>2.36</v>
      </c>
      <c r="G161" s="13">
        <v>3.54</v>
      </c>
    </row>
    <row r="162" spans="1:7" x14ac:dyDescent="0.25">
      <c r="A162" s="6">
        <v>44722</v>
      </c>
      <c r="B162" s="7">
        <v>0.17572916666666666</v>
      </c>
      <c r="C162" s="7">
        <v>0.87349537037037039</v>
      </c>
      <c r="D162" s="8">
        <v>1</v>
      </c>
      <c r="E162" s="8">
        <v>12.65</v>
      </c>
      <c r="F162" s="8">
        <v>6.94</v>
      </c>
      <c r="G162" s="9">
        <v>3.24</v>
      </c>
    </row>
    <row r="163" spans="1:7" x14ac:dyDescent="0.25">
      <c r="A163" s="10">
        <v>44723</v>
      </c>
      <c r="B163" s="11">
        <v>0.17549768518518519</v>
      </c>
      <c r="C163" s="11">
        <v>0.8740162037037037</v>
      </c>
      <c r="D163" s="12">
        <v>1</v>
      </c>
      <c r="E163" s="12">
        <v>8.86</v>
      </c>
      <c r="F163" s="12">
        <v>2.94</v>
      </c>
      <c r="G163" s="13">
        <v>1.68</v>
      </c>
    </row>
    <row r="164" spans="1:7" x14ac:dyDescent="0.25">
      <c r="A164" s="6">
        <v>44724</v>
      </c>
      <c r="B164" s="7">
        <v>0.17530092592592592</v>
      </c>
      <c r="C164" s="7">
        <v>0.87450231481481477</v>
      </c>
      <c r="D164" s="8">
        <v>3</v>
      </c>
      <c r="E164" s="8">
        <v>5.64</v>
      </c>
      <c r="F164" s="8">
        <v>4.25</v>
      </c>
      <c r="G164" s="9">
        <v>4.95</v>
      </c>
    </row>
    <row r="165" spans="1:7" x14ac:dyDescent="0.25">
      <c r="A165" s="10">
        <v>44725</v>
      </c>
      <c r="B165" s="11">
        <v>0.1751388888888889</v>
      </c>
      <c r="C165" s="11">
        <v>0.87495370370370373</v>
      </c>
      <c r="D165" s="12">
        <v>2</v>
      </c>
      <c r="E165" s="12">
        <v>6.89</v>
      </c>
      <c r="F165" s="12">
        <v>3.98</v>
      </c>
      <c r="G165" s="13">
        <v>2.4900000000000002</v>
      </c>
    </row>
    <row r="166" spans="1:7" x14ac:dyDescent="0.25">
      <c r="A166" s="6">
        <v>44726</v>
      </c>
      <c r="B166" s="7">
        <v>0.17501157407407408</v>
      </c>
      <c r="C166" s="7">
        <v>0.87537037037037035</v>
      </c>
      <c r="D166" s="8">
        <v>0</v>
      </c>
      <c r="E166" s="8">
        <v>14.03</v>
      </c>
      <c r="F166" s="8">
        <v>5.68</v>
      </c>
      <c r="G166" s="9">
        <v>2.95</v>
      </c>
    </row>
    <row r="167" spans="1:7" x14ac:dyDescent="0.25">
      <c r="A167" s="10">
        <v>44727</v>
      </c>
      <c r="B167" s="11">
        <v>0.17493055555555556</v>
      </c>
      <c r="C167" s="11">
        <v>0.87575231481481486</v>
      </c>
      <c r="D167" s="12">
        <v>1</v>
      </c>
      <c r="E167" s="12">
        <v>11.04</v>
      </c>
      <c r="F167" s="12">
        <v>4.9400000000000004</v>
      </c>
      <c r="G167" s="13">
        <v>3.41</v>
      </c>
    </row>
    <row r="168" spans="1:7" x14ac:dyDescent="0.25">
      <c r="A168" s="6">
        <v>44728</v>
      </c>
      <c r="B168" s="7">
        <v>0.17487268518518517</v>
      </c>
      <c r="C168" s="7">
        <v>0.87609953703703702</v>
      </c>
      <c r="D168" s="8">
        <v>0</v>
      </c>
      <c r="E168" s="8">
        <v>11.7</v>
      </c>
      <c r="F168" s="8">
        <v>4.79</v>
      </c>
      <c r="G168" s="9">
        <v>2.5099999999999998</v>
      </c>
    </row>
    <row r="169" spans="1:7" x14ac:dyDescent="0.25">
      <c r="A169" s="10">
        <v>44729</v>
      </c>
      <c r="B169" s="11">
        <v>0.17486111111111111</v>
      </c>
      <c r="C169" s="11">
        <v>0.87641203703703707</v>
      </c>
      <c r="D169" s="12">
        <v>3</v>
      </c>
      <c r="E169" s="12">
        <v>5.39</v>
      </c>
      <c r="F169" s="12">
        <v>4.6500000000000004</v>
      </c>
      <c r="G169" s="13">
        <v>4.25</v>
      </c>
    </row>
    <row r="170" spans="1:7" x14ac:dyDescent="0.25">
      <c r="A170" s="6">
        <v>44730</v>
      </c>
      <c r="B170" s="7">
        <v>0.17488425925925927</v>
      </c>
      <c r="C170" s="7">
        <v>0.87668981481481478</v>
      </c>
      <c r="D170" s="8">
        <v>0</v>
      </c>
      <c r="E170" s="8">
        <v>11.1</v>
      </c>
      <c r="F170" s="8">
        <v>4.6399999999999997</v>
      </c>
      <c r="G170" s="9">
        <v>3.54</v>
      </c>
    </row>
    <row r="171" spans="1:7" x14ac:dyDescent="0.25">
      <c r="A171" s="10">
        <v>44731</v>
      </c>
      <c r="B171" s="11">
        <v>0.17495370370370369</v>
      </c>
      <c r="C171" s="11">
        <v>0.87693287037037038</v>
      </c>
      <c r="D171" s="12">
        <v>0</v>
      </c>
      <c r="E171" s="12">
        <v>15.81</v>
      </c>
      <c r="F171" s="12">
        <v>7.63</v>
      </c>
      <c r="G171" s="13">
        <v>2.02</v>
      </c>
    </row>
    <row r="172" spans="1:7" x14ac:dyDescent="0.25">
      <c r="A172" s="6">
        <v>44732</v>
      </c>
      <c r="B172" s="7">
        <v>0.17504629629629628</v>
      </c>
      <c r="C172" s="7">
        <v>0.87712962962962959</v>
      </c>
      <c r="D172" s="8">
        <v>2</v>
      </c>
      <c r="E172" s="8">
        <v>8.8800000000000008</v>
      </c>
      <c r="F172" s="8">
        <v>6.14</v>
      </c>
      <c r="G172" s="9">
        <v>3.61</v>
      </c>
    </row>
    <row r="173" spans="1:7" x14ac:dyDescent="0.25">
      <c r="A173" s="10">
        <v>44733</v>
      </c>
      <c r="B173" s="11">
        <v>0.17518518518518519</v>
      </c>
      <c r="C173" s="11">
        <v>0.87730324074074073</v>
      </c>
      <c r="D173" s="12">
        <v>0</v>
      </c>
      <c r="E173" s="12">
        <v>14.44</v>
      </c>
      <c r="F173" s="12">
        <v>3.61</v>
      </c>
      <c r="G173" s="13">
        <v>0.56999999999999995</v>
      </c>
    </row>
    <row r="174" spans="1:7" x14ac:dyDescent="0.25">
      <c r="A174" s="6">
        <v>44734</v>
      </c>
      <c r="B174" s="7">
        <v>0.1753587962962963</v>
      </c>
      <c r="C174" s="7">
        <v>0.8774305555555556</v>
      </c>
      <c r="D174" s="8">
        <v>1</v>
      </c>
      <c r="E174" s="8">
        <v>9.7899999999999991</v>
      </c>
      <c r="F174" s="8">
        <v>4.8</v>
      </c>
      <c r="G174" s="9">
        <v>3.05</v>
      </c>
    </row>
    <row r="175" spans="1:7" x14ac:dyDescent="0.25">
      <c r="A175" s="10">
        <v>44735</v>
      </c>
      <c r="B175" s="11">
        <v>0.17556712962962964</v>
      </c>
      <c r="C175" s="11">
        <v>0.87752314814814814</v>
      </c>
      <c r="D175" s="12">
        <v>0</v>
      </c>
      <c r="E175" s="12">
        <v>14.78</v>
      </c>
      <c r="F175" s="12">
        <v>6.76</v>
      </c>
      <c r="G175" s="13">
        <v>3.64</v>
      </c>
    </row>
    <row r="176" spans="1:7" x14ac:dyDescent="0.25">
      <c r="A176" s="6">
        <v>44736</v>
      </c>
      <c r="B176" s="7">
        <v>0.17581018518518518</v>
      </c>
      <c r="C176" s="7">
        <v>0.87758101851851855</v>
      </c>
      <c r="D176" s="8">
        <v>0</v>
      </c>
      <c r="E176" s="8">
        <v>14.52</v>
      </c>
      <c r="F176" s="8">
        <v>8.19</v>
      </c>
      <c r="G176" s="9">
        <v>3.95</v>
      </c>
    </row>
    <row r="177" spans="1:7" x14ac:dyDescent="0.25">
      <c r="A177" s="10">
        <v>44737</v>
      </c>
      <c r="B177" s="11">
        <v>0.17608796296296297</v>
      </c>
      <c r="C177" s="11">
        <v>0.87759259259259259</v>
      </c>
      <c r="D177" s="12">
        <v>3</v>
      </c>
      <c r="E177" s="12">
        <v>5.86</v>
      </c>
      <c r="F177" s="12">
        <v>4.1900000000000004</v>
      </c>
      <c r="G177" s="13">
        <v>3.85</v>
      </c>
    </row>
    <row r="178" spans="1:7" x14ac:dyDescent="0.25">
      <c r="A178" s="6">
        <v>44738</v>
      </c>
      <c r="B178" s="7">
        <v>0.17640046296296297</v>
      </c>
      <c r="C178" s="7">
        <v>0.8775694444444444</v>
      </c>
      <c r="D178" s="8">
        <v>1</v>
      </c>
      <c r="E178" s="8">
        <v>12.81</v>
      </c>
      <c r="F178" s="8">
        <v>7.18</v>
      </c>
      <c r="G178" s="9">
        <v>1.54</v>
      </c>
    </row>
    <row r="179" spans="1:7" x14ac:dyDescent="0.25">
      <c r="A179" s="10">
        <v>44739</v>
      </c>
      <c r="B179" s="11">
        <v>0.17674768518518519</v>
      </c>
      <c r="C179" s="11">
        <v>0.8775115740740741</v>
      </c>
      <c r="D179" s="12">
        <v>0</v>
      </c>
      <c r="E179" s="12">
        <v>13.22</v>
      </c>
      <c r="F179" s="12">
        <v>5.53</v>
      </c>
      <c r="G179" s="13">
        <v>4.26</v>
      </c>
    </row>
    <row r="180" spans="1:7" x14ac:dyDescent="0.25">
      <c r="A180" s="6">
        <v>44740</v>
      </c>
      <c r="B180" s="7">
        <v>0.17712962962962964</v>
      </c>
      <c r="C180" s="7">
        <v>0.87741898148148145</v>
      </c>
      <c r="D180" s="8">
        <v>0</v>
      </c>
      <c r="E180" s="8">
        <v>14.18</v>
      </c>
      <c r="F180" s="8">
        <v>6.49</v>
      </c>
      <c r="G180" s="9">
        <v>3.84</v>
      </c>
    </row>
    <row r="181" spans="1:7" x14ac:dyDescent="0.25">
      <c r="A181" s="10">
        <v>44741</v>
      </c>
      <c r="B181" s="11">
        <v>0.17754629629629629</v>
      </c>
      <c r="C181" s="11">
        <v>0.87729166666666669</v>
      </c>
      <c r="D181" s="12">
        <v>0</v>
      </c>
      <c r="E181" s="12">
        <v>18.47</v>
      </c>
      <c r="F181" s="12">
        <v>9.1999999999999993</v>
      </c>
      <c r="G181" s="13">
        <v>2.4700000000000002</v>
      </c>
    </row>
    <row r="182" spans="1:7" x14ac:dyDescent="0.25">
      <c r="A182" s="6">
        <v>44742</v>
      </c>
      <c r="B182" s="7">
        <v>0.17799768518518519</v>
      </c>
      <c r="C182" s="7">
        <v>0.87711805555555555</v>
      </c>
      <c r="D182" s="8">
        <v>3</v>
      </c>
      <c r="E182" s="8">
        <v>6.81</v>
      </c>
      <c r="F182" s="8">
        <v>2.59</v>
      </c>
      <c r="G182" s="9">
        <v>1.95</v>
      </c>
    </row>
    <row r="183" spans="1:7" x14ac:dyDescent="0.25">
      <c r="A183" s="10">
        <v>44743</v>
      </c>
      <c r="B183" s="11">
        <v>0.17847222222222223</v>
      </c>
      <c r="C183" s="11">
        <v>0.87690972222222219</v>
      </c>
      <c r="D183" s="12">
        <v>2</v>
      </c>
      <c r="E183" s="12">
        <v>2.96</v>
      </c>
      <c r="F183" s="12">
        <v>1.54</v>
      </c>
      <c r="G183" s="13">
        <v>4.5199999999999996</v>
      </c>
    </row>
    <row r="184" spans="1:7" x14ac:dyDescent="0.25">
      <c r="A184" s="6">
        <v>44744</v>
      </c>
      <c r="B184" s="7">
        <v>0.17898148148148149</v>
      </c>
      <c r="C184" s="7">
        <v>0.87665509259259256</v>
      </c>
      <c r="D184" s="8">
        <v>0</v>
      </c>
      <c r="E184" s="8">
        <v>13.76</v>
      </c>
      <c r="F184" s="8">
        <v>7.09</v>
      </c>
      <c r="G184" s="9">
        <v>4.32</v>
      </c>
    </row>
    <row r="185" spans="1:7" x14ac:dyDescent="0.25">
      <c r="A185" s="10">
        <v>44745</v>
      </c>
      <c r="B185" s="11">
        <v>0.17952546296296296</v>
      </c>
      <c r="C185" s="11">
        <v>0.87637731481481485</v>
      </c>
      <c r="D185" s="12">
        <v>0</v>
      </c>
      <c r="E185" s="12">
        <v>17.920000000000002</v>
      </c>
      <c r="F185" s="12">
        <v>10.28</v>
      </c>
      <c r="G185" s="13">
        <v>2.65</v>
      </c>
    </row>
    <row r="186" spans="1:7" x14ac:dyDescent="0.25">
      <c r="A186" s="6">
        <v>44746</v>
      </c>
      <c r="B186" s="7">
        <v>0.18010416666666668</v>
      </c>
      <c r="C186" s="7">
        <v>0.87605324074074076</v>
      </c>
      <c r="D186" s="8">
        <v>0</v>
      </c>
      <c r="E186" s="8">
        <v>19.89</v>
      </c>
      <c r="F186" s="8">
        <v>10.64</v>
      </c>
      <c r="G186" s="9">
        <v>1.48</v>
      </c>
    </row>
    <row r="187" spans="1:7" x14ac:dyDescent="0.25">
      <c r="A187" s="10">
        <v>44747</v>
      </c>
      <c r="B187" s="11">
        <v>0.18069444444444444</v>
      </c>
      <c r="C187" s="11">
        <v>0.87569444444444444</v>
      </c>
      <c r="D187" s="12">
        <v>0</v>
      </c>
      <c r="E187" s="12">
        <v>19.149999999999999</v>
      </c>
      <c r="F187" s="12">
        <v>11.79</v>
      </c>
      <c r="G187" s="13">
        <v>2.95</v>
      </c>
    </row>
    <row r="188" spans="1:7" x14ac:dyDescent="0.25">
      <c r="A188" s="6">
        <v>44748</v>
      </c>
      <c r="B188" s="7">
        <v>0.18133101851851852</v>
      </c>
      <c r="C188" s="7">
        <v>0.8753009259259259</v>
      </c>
      <c r="D188" s="8">
        <v>1</v>
      </c>
      <c r="E188" s="8">
        <v>14.68</v>
      </c>
      <c r="F188" s="8">
        <v>11.32</v>
      </c>
      <c r="G188" s="9">
        <v>4.26</v>
      </c>
    </row>
    <row r="189" spans="1:7" x14ac:dyDescent="0.25">
      <c r="A189" s="10">
        <v>44749</v>
      </c>
      <c r="B189" s="11">
        <v>0.18199074074074073</v>
      </c>
      <c r="C189" s="11">
        <v>0.87487268518518524</v>
      </c>
      <c r="D189" s="12">
        <v>0</v>
      </c>
      <c r="E189" s="12">
        <v>16.95</v>
      </c>
      <c r="F189" s="12">
        <v>9.57</v>
      </c>
      <c r="G189" s="13">
        <v>3.24</v>
      </c>
    </row>
    <row r="190" spans="1:7" x14ac:dyDescent="0.25">
      <c r="A190" s="6">
        <v>44750</v>
      </c>
      <c r="B190" s="7">
        <v>0.18267361111111111</v>
      </c>
      <c r="C190" s="7">
        <v>0.87440972222222224</v>
      </c>
      <c r="D190" s="8">
        <v>1</v>
      </c>
      <c r="E190" s="8">
        <v>11.9</v>
      </c>
      <c r="F190" s="8">
        <v>7.34</v>
      </c>
      <c r="G190" s="9">
        <v>4.8099999999999996</v>
      </c>
    </row>
    <row r="191" spans="1:7" x14ac:dyDescent="0.25">
      <c r="A191" s="10">
        <v>44751</v>
      </c>
      <c r="B191" s="11">
        <v>0.18337962962962964</v>
      </c>
      <c r="C191" s="11">
        <v>0.87390046296296298</v>
      </c>
      <c r="D191" s="12">
        <v>0</v>
      </c>
      <c r="E191" s="12">
        <v>19.440000000000001</v>
      </c>
      <c r="F191" s="12">
        <v>11.14</v>
      </c>
      <c r="G191" s="13">
        <v>2.91</v>
      </c>
    </row>
    <row r="192" spans="1:7" x14ac:dyDescent="0.25">
      <c r="A192" s="6">
        <v>44752</v>
      </c>
      <c r="B192" s="7">
        <v>0.18412037037037038</v>
      </c>
      <c r="C192" s="7">
        <v>0.87336805555555552</v>
      </c>
      <c r="D192" s="8">
        <v>0</v>
      </c>
      <c r="E192" s="8">
        <v>19.54</v>
      </c>
      <c r="F192" s="8">
        <v>12.94</v>
      </c>
      <c r="G192" s="9">
        <v>3.47</v>
      </c>
    </row>
    <row r="193" spans="1:7" x14ac:dyDescent="0.25">
      <c r="A193" s="10">
        <v>44753</v>
      </c>
      <c r="B193" s="11">
        <v>0.18487268518518518</v>
      </c>
      <c r="C193" s="11">
        <v>0.87280092592592595</v>
      </c>
      <c r="D193" s="12">
        <v>0</v>
      </c>
      <c r="E193" s="12">
        <v>18.52</v>
      </c>
      <c r="F193" s="12">
        <v>12.35</v>
      </c>
      <c r="G193" s="13">
        <v>1.85</v>
      </c>
    </row>
    <row r="194" spans="1:7" x14ac:dyDescent="0.25">
      <c r="A194" s="6">
        <v>44754</v>
      </c>
      <c r="B194" s="7">
        <v>0.18565972222222221</v>
      </c>
      <c r="C194" s="7">
        <v>0.8721875</v>
      </c>
      <c r="D194" s="8">
        <v>0</v>
      </c>
      <c r="E194" s="8">
        <v>19.77</v>
      </c>
      <c r="F194" s="8">
        <v>11.78</v>
      </c>
      <c r="G194" s="9">
        <v>1.95</v>
      </c>
    </row>
    <row r="195" spans="1:7" x14ac:dyDescent="0.25">
      <c r="A195" s="10">
        <v>44755</v>
      </c>
      <c r="B195" s="11">
        <v>0.1864699074074074</v>
      </c>
      <c r="C195" s="11">
        <v>0.87155092592592598</v>
      </c>
      <c r="D195" s="12">
        <v>0</v>
      </c>
      <c r="E195" s="12">
        <v>17.22</v>
      </c>
      <c r="F195" s="12">
        <v>9.69</v>
      </c>
      <c r="G195" s="13">
        <v>2.84</v>
      </c>
    </row>
    <row r="196" spans="1:7" x14ac:dyDescent="0.25">
      <c r="A196" s="6">
        <v>44756</v>
      </c>
      <c r="B196" s="7">
        <v>0.18729166666666666</v>
      </c>
      <c r="C196" s="7">
        <v>0.87087962962962961</v>
      </c>
      <c r="D196" s="8">
        <v>1</v>
      </c>
      <c r="E196" s="8">
        <v>14.02</v>
      </c>
      <c r="F196" s="8">
        <v>8.5399999999999991</v>
      </c>
      <c r="G196" s="9">
        <v>2.69</v>
      </c>
    </row>
    <row r="197" spans="1:7" x14ac:dyDescent="0.25">
      <c r="A197" s="10">
        <v>44757</v>
      </c>
      <c r="B197" s="11">
        <v>0.18813657407407408</v>
      </c>
      <c r="C197" s="11">
        <v>0.87017361111111113</v>
      </c>
      <c r="D197" s="12">
        <v>1</v>
      </c>
      <c r="E197" s="12">
        <v>15.96</v>
      </c>
      <c r="F197" s="12">
        <v>11.95</v>
      </c>
      <c r="G197" s="13">
        <v>3.05</v>
      </c>
    </row>
    <row r="198" spans="1:7" x14ac:dyDescent="0.25">
      <c r="A198" s="6">
        <v>44758</v>
      </c>
      <c r="B198" s="7">
        <v>0.1890162037037037</v>
      </c>
      <c r="C198" s="7">
        <v>0.86944444444444446</v>
      </c>
      <c r="D198" s="8">
        <v>1</v>
      </c>
      <c r="E198" s="8">
        <v>15.06</v>
      </c>
      <c r="F198" s="8">
        <v>7.68</v>
      </c>
      <c r="G198" s="9">
        <v>1.1599999999999999</v>
      </c>
    </row>
    <row r="199" spans="1:7" x14ac:dyDescent="0.25">
      <c r="A199" s="10">
        <v>44759</v>
      </c>
      <c r="B199" s="11">
        <v>0.18989583333333335</v>
      </c>
      <c r="C199" s="11">
        <v>0.86868055555555557</v>
      </c>
      <c r="D199" s="12">
        <v>0</v>
      </c>
      <c r="E199" s="12">
        <v>19.62</v>
      </c>
      <c r="F199" s="12">
        <v>10.19</v>
      </c>
      <c r="G199" s="13">
        <v>0.47</v>
      </c>
    </row>
    <row r="200" spans="1:7" x14ac:dyDescent="0.25">
      <c r="A200" s="6">
        <v>44760</v>
      </c>
      <c r="B200" s="7">
        <v>0.19081018518518519</v>
      </c>
      <c r="C200" s="7">
        <v>0.86788194444444444</v>
      </c>
      <c r="D200" s="8">
        <v>0</v>
      </c>
      <c r="E200" s="8">
        <v>18.97</v>
      </c>
      <c r="F200" s="8">
        <v>8.85</v>
      </c>
      <c r="G200" s="9">
        <v>1.66</v>
      </c>
    </row>
    <row r="201" spans="1:7" x14ac:dyDescent="0.25">
      <c r="A201" s="10">
        <v>44761</v>
      </c>
      <c r="B201" s="11">
        <v>0.19172453703703704</v>
      </c>
      <c r="C201" s="11">
        <v>0.86704861111111109</v>
      </c>
      <c r="D201" s="12">
        <v>0</v>
      </c>
      <c r="E201" s="12">
        <v>17.940000000000001</v>
      </c>
      <c r="F201" s="12">
        <v>9.83</v>
      </c>
      <c r="G201" s="13">
        <v>3.13</v>
      </c>
    </row>
    <row r="202" spans="1:7" x14ac:dyDescent="0.25">
      <c r="A202" s="6">
        <v>44762</v>
      </c>
      <c r="B202" s="7">
        <v>0.19267361111111111</v>
      </c>
      <c r="C202" s="7">
        <v>0.86619212962962966</v>
      </c>
      <c r="D202" s="8">
        <v>0</v>
      </c>
      <c r="E202" s="8">
        <v>17.350000000000001</v>
      </c>
      <c r="F202" s="8">
        <v>11.02</v>
      </c>
      <c r="G202" s="9">
        <v>2.82</v>
      </c>
    </row>
    <row r="203" spans="1:7" x14ac:dyDescent="0.25">
      <c r="A203" s="10">
        <v>44763</v>
      </c>
      <c r="B203" s="11">
        <v>0.19362268518518519</v>
      </c>
      <c r="C203" s="11">
        <v>0.86531250000000004</v>
      </c>
      <c r="D203" s="12">
        <v>0</v>
      </c>
      <c r="E203" s="12">
        <v>18.3</v>
      </c>
      <c r="F203" s="12">
        <v>10.96</v>
      </c>
      <c r="G203" s="13">
        <v>2.14</v>
      </c>
    </row>
    <row r="204" spans="1:7" x14ac:dyDescent="0.25">
      <c r="A204" s="6">
        <v>44764</v>
      </c>
      <c r="B204" s="7">
        <v>0.1945949074074074</v>
      </c>
      <c r="C204" s="7">
        <v>0.86439814814814819</v>
      </c>
      <c r="D204" s="8">
        <v>0</v>
      </c>
      <c r="E204" s="8">
        <v>17.04</v>
      </c>
      <c r="F204" s="8">
        <v>9.85</v>
      </c>
      <c r="G204" s="9">
        <v>2.2599999999999998</v>
      </c>
    </row>
    <row r="205" spans="1:7" x14ac:dyDescent="0.25">
      <c r="A205" s="10">
        <v>44765</v>
      </c>
      <c r="B205" s="11">
        <v>0.1955787037037037</v>
      </c>
      <c r="C205" s="11">
        <v>0.86346064814814816</v>
      </c>
      <c r="D205" s="12">
        <v>0</v>
      </c>
      <c r="E205" s="12">
        <v>18.850000000000001</v>
      </c>
      <c r="F205" s="12">
        <v>11.75</v>
      </c>
      <c r="G205" s="13">
        <v>2.94</v>
      </c>
    </row>
    <row r="206" spans="1:7" x14ac:dyDescent="0.25">
      <c r="A206" s="6">
        <v>44766</v>
      </c>
      <c r="B206" s="7">
        <v>0.19658564814814813</v>
      </c>
      <c r="C206" s="7">
        <v>0.86248842592592589</v>
      </c>
      <c r="D206" s="8">
        <v>0</v>
      </c>
      <c r="E206" s="8">
        <v>16.55</v>
      </c>
      <c r="F206" s="8">
        <v>8.33</v>
      </c>
      <c r="G206" s="9">
        <v>1.56</v>
      </c>
    </row>
    <row r="207" spans="1:7" x14ac:dyDescent="0.25">
      <c r="A207" s="10">
        <v>44767</v>
      </c>
      <c r="B207" s="11">
        <v>0.1975925925925926</v>
      </c>
      <c r="C207" s="11">
        <v>0.86149305555555555</v>
      </c>
      <c r="D207" s="12">
        <v>1</v>
      </c>
      <c r="E207" s="12">
        <v>13.83</v>
      </c>
      <c r="F207" s="12">
        <v>8.1999999999999993</v>
      </c>
      <c r="G207" s="13">
        <v>3.02</v>
      </c>
    </row>
    <row r="208" spans="1:7" x14ac:dyDescent="0.25">
      <c r="A208" s="6">
        <v>44768</v>
      </c>
      <c r="B208" s="7">
        <v>0.19862268518518519</v>
      </c>
      <c r="C208" s="7">
        <v>0.86047453703703702</v>
      </c>
      <c r="D208" s="8">
        <v>0</v>
      </c>
      <c r="E208" s="8">
        <v>16.16</v>
      </c>
      <c r="F208" s="8">
        <v>8.9499999999999993</v>
      </c>
      <c r="G208" s="9">
        <v>2.09</v>
      </c>
    </row>
    <row r="209" spans="1:7" x14ac:dyDescent="0.25">
      <c r="A209" s="10">
        <v>44769</v>
      </c>
      <c r="B209" s="11">
        <v>0.19965277777777779</v>
      </c>
      <c r="C209" s="11">
        <v>0.85942129629629627</v>
      </c>
      <c r="D209" s="12">
        <v>0</v>
      </c>
      <c r="E209" s="12">
        <v>17.82</v>
      </c>
      <c r="F209" s="12">
        <v>10.94</v>
      </c>
      <c r="G209" s="13">
        <v>3.66</v>
      </c>
    </row>
    <row r="210" spans="1:7" x14ac:dyDescent="0.25">
      <c r="A210" s="6">
        <v>44770</v>
      </c>
      <c r="B210" s="7">
        <v>0.20069444444444445</v>
      </c>
      <c r="C210" s="7">
        <v>0.85835648148148147</v>
      </c>
      <c r="D210" s="8">
        <v>0</v>
      </c>
      <c r="E210" s="8">
        <v>19.23</v>
      </c>
      <c r="F210" s="8">
        <v>10.19</v>
      </c>
      <c r="G210" s="9">
        <v>2.0299999999999998</v>
      </c>
    </row>
    <row r="211" spans="1:7" x14ac:dyDescent="0.25">
      <c r="A211" s="10">
        <v>44771</v>
      </c>
      <c r="B211" s="11">
        <v>0.20175925925925925</v>
      </c>
      <c r="C211" s="11">
        <v>0.85725694444444445</v>
      </c>
      <c r="D211" s="12">
        <v>0</v>
      </c>
      <c r="E211" s="12">
        <v>18.59</v>
      </c>
      <c r="F211" s="12">
        <v>10.29</v>
      </c>
      <c r="G211" s="13">
        <v>1.74</v>
      </c>
    </row>
    <row r="212" spans="1:7" x14ac:dyDescent="0.25">
      <c r="A212" s="6">
        <v>44772</v>
      </c>
      <c r="B212" s="7">
        <v>0.20282407407407407</v>
      </c>
      <c r="C212" s="7">
        <v>0.85614583333333338</v>
      </c>
      <c r="D212" s="8">
        <v>1</v>
      </c>
      <c r="E212" s="8">
        <v>14.2</v>
      </c>
      <c r="F212" s="8">
        <v>10.59</v>
      </c>
      <c r="G212" s="9">
        <v>4.04</v>
      </c>
    </row>
    <row r="213" spans="1:7" x14ac:dyDescent="0.25">
      <c r="A213" s="10">
        <v>44773</v>
      </c>
      <c r="B213" s="11">
        <v>0.2038888888888889</v>
      </c>
      <c r="C213" s="11">
        <v>0.85499999999999998</v>
      </c>
      <c r="D213" s="12">
        <v>1</v>
      </c>
      <c r="E213" s="12">
        <v>13.79</v>
      </c>
      <c r="F213" s="12">
        <v>8.49</v>
      </c>
      <c r="G213" s="13">
        <v>2.38</v>
      </c>
    </row>
    <row r="214" spans="1:7" x14ac:dyDescent="0.25">
      <c r="A214" s="6">
        <v>44774</v>
      </c>
      <c r="B214" s="7">
        <v>0.20497685185185185</v>
      </c>
      <c r="C214" s="7">
        <v>0.85384259259259254</v>
      </c>
      <c r="D214" s="8">
        <v>1</v>
      </c>
      <c r="E214" s="8">
        <v>15.96</v>
      </c>
      <c r="F214" s="8">
        <v>9.48</v>
      </c>
      <c r="G214" s="9">
        <v>1.78</v>
      </c>
    </row>
    <row r="215" spans="1:7" x14ac:dyDescent="0.25">
      <c r="A215" s="10">
        <v>44775</v>
      </c>
      <c r="B215" s="11">
        <v>0.20606481481481481</v>
      </c>
      <c r="C215" s="11">
        <v>0.85266203703703702</v>
      </c>
      <c r="D215" s="12">
        <v>0</v>
      </c>
      <c r="E215" s="12">
        <v>18.86</v>
      </c>
      <c r="F215" s="12">
        <v>12.56</v>
      </c>
      <c r="G215" s="13">
        <v>4.93</v>
      </c>
    </row>
    <row r="216" spans="1:7" x14ac:dyDescent="0.25">
      <c r="A216" s="6">
        <v>44776</v>
      </c>
      <c r="B216" s="7">
        <v>0.20716435185185186</v>
      </c>
      <c r="C216" s="7">
        <v>0.85145833333333332</v>
      </c>
      <c r="D216" s="8">
        <v>0</v>
      </c>
      <c r="E216" s="8">
        <v>18.12</v>
      </c>
      <c r="F216" s="8">
        <v>9.15</v>
      </c>
      <c r="G216" s="9">
        <v>2.87</v>
      </c>
    </row>
    <row r="217" spans="1:7" x14ac:dyDescent="0.25">
      <c r="A217" s="10">
        <v>44777</v>
      </c>
      <c r="B217" s="11">
        <v>0.20826388888888889</v>
      </c>
      <c r="C217" s="11">
        <v>0.85023148148148153</v>
      </c>
      <c r="D217" s="12">
        <v>0</v>
      </c>
      <c r="E217" s="12">
        <v>19.88</v>
      </c>
      <c r="F217" s="12">
        <v>10.14</v>
      </c>
      <c r="G217" s="13">
        <v>1.94</v>
      </c>
    </row>
    <row r="218" spans="1:7" x14ac:dyDescent="0.25">
      <c r="A218" s="6">
        <v>44778</v>
      </c>
      <c r="B218" s="7">
        <v>0.20937500000000001</v>
      </c>
      <c r="C218" s="7">
        <v>0.84898148148148145</v>
      </c>
      <c r="D218" s="8">
        <v>1</v>
      </c>
      <c r="E218" s="8">
        <v>12.71</v>
      </c>
      <c r="F218" s="8">
        <v>8.08</v>
      </c>
      <c r="G218" s="9">
        <v>2.89</v>
      </c>
    </row>
    <row r="219" spans="1:7" x14ac:dyDescent="0.25">
      <c r="A219" s="10">
        <v>44779</v>
      </c>
      <c r="B219" s="11">
        <v>0.21048611111111112</v>
      </c>
      <c r="C219" s="11">
        <v>0.84771990740740744</v>
      </c>
      <c r="D219" s="12">
        <v>1</v>
      </c>
      <c r="E219" s="12">
        <v>11.46</v>
      </c>
      <c r="F219" s="12">
        <v>7.01</v>
      </c>
      <c r="G219" s="13">
        <v>2.95</v>
      </c>
    </row>
    <row r="220" spans="1:7" x14ac:dyDescent="0.25">
      <c r="A220" s="6">
        <v>44780</v>
      </c>
      <c r="B220" s="7">
        <v>0.21159722222222221</v>
      </c>
      <c r="C220" s="7">
        <v>0.84644675925925927</v>
      </c>
      <c r="D220" s="8">
        <v>0</v>
      </c>
      <c r="E220" s="8">
        <v>18.38</v>
      </c>
      <c r="F220" s="8">
        <v>11.16</v>
      </c>
      <c r="G220" s="9">
        <v>3.69</v>
      </c>
    </row>
    <row r="221" spans="1:7" x14ac:dyDescent="0.25">
      <c r="A221" s="10">
        <v>44781</v>
      </c>
      <c r="B221" s="11">
        <v>0.2127199074074074</v>
      </c>
      <c r="C221" s="11">
        <v>0.84513888888888888</v>
      </c>
      <c r="D221" s="12">
        <v>0</v>
      </c>
      <c r="E221" s="12">
        <v>15.21</v>
      </c>
      <c r="F221" s="12">
        <v>6.71</v>
      </c>
      <c r="G221" s="13">
        <v>3.21</v>
      </c>
    </row>
    <row r="222" spans="1:7" x14ac:dyDescent="0.25">
      <c r="A222" s="6">
        <v>44782</v>
      </c>
      <c r="B222" s="7">
        <v>0.21384259259259258</v>
      </c>
      <c r="C222" s="7">
        <v>0.84381944444444446</v>
      </c>
      <c r="D222" s="8">
        <v>0</v>
      </c>
      <c r="E222" s="8">
        <v>19.329999999999998</v>
      </c>
      <c r="F222" s="8">
        <v>10.19</v>
      </c>
      <c r="G222" s="9">
        <v>1.54</v>
      </c>
    </row>
    <row r="223" spans="1:7" x14ac:dyDescent="0.25">
      <c r="A223" s="10">
        <v>44783</v>
      </c>
      <c r="B223" s="11">
        <v>0.21497685185185186</v>
      </c>
      <c r="C223" s="11">
        <v>0.84248842592592588</v>
      </c>
      <c r="D223" s="12">
        <v>0</v>
      </c>
      <c r="E223" s="12">
        <v>19.829999999999998</v>
      </c>
      <c r="F223" s="12">
        <v>12.94</v>
      </c>
      <c r="G223" s="13">
        <v>3.94</v>
      </c>
    </row>
    <row r="224" spans="1:7" x14ac:dyDescent="0.25">
      <c r="A224" s="6">
        <v>44784</v>
      </c>
      <c r="B224" s="7">
        <v>0.21611111111111111</v>
      </c>
      <c r="C224" s="7">
        <v>0.84114583333333337</v>
      </c>
      <c r="D224" s="8">
        <v>0</v>
      </c>
      <c r="E224" s="8">
        <v>15.68</v>
      </c>
      <c r="F224" s="8">
        <v>6.85</v>
      </c>
      <c r="G224" s="9">
        <v>2.4900000000000002</v>
      </c>
    </row>
    <row r="225" spans="1:7" x14ac:dyDescent="0.25">
      <c r="A225" s="10">
        <v>44785</v>
      </c>
      <c r="B225" s="11">
        <v>0.21724537037037037</v>
      </c>
      <c r="C225" s="11">
        <v>0.83978009259259256</v>
      </c>
      <c r="D225" s="12">
        <v>1</v>
      </c>
      <c r="E225" s="12">
        <v>10.43</v>
      </c>
      <c r="F225" s="12">
        <v>5.19</v>
      </c>
      <c r="G225" s="13">
        <v>2.76</v>
      </c>
    </row>
    <row r="226" spans="1:7" x14ac:dyDescent="0.25">
      <c r="A226" s="6">
        <v>44786</v>
      </c>
      <c r="B226" s="7">
        <v>0.21837962962962962</v>
      </c>
      <c r="C226" s="7">
        <v>0.83839120370370368</v>
      </c>
      <c r="D226" s="8">
        <v>0</v>
      </c>
      <c r="E226" s="8">
        <v>17.89</v>
      </c>
      <c r="F226" s="8">
        <v>7.23</v>
      </c>
      <c r="G226" s="9">
        <v>0.49</v>
      </c>
    </row>
    <row r="227" spans="1:7" x14ac:dyDescent="0.25">
      <c r="A227" s="10">
        <v>44787</v>
      </c>
      <c r="B227" s="11">
        <v>0.21952546296296296</v>
      </c>
      <c r="C227" s="11">
        <v>0.8370023148148148</v>
      </c>
      <c r="D227" s="12">
        <v>0</v>
      </c>
      <c r="E227" s="12">
        <v>17.03</v>
      </c>
      <c r="F227" s="12">
        <v>9.32</v>
      </c>
      <c r="G227" s="13">
        <v>3.67</v>
      </c>
    </row>
    <row r="228" spans="1:7" x14ac:dyDescent="0.25">
      <c r="A228" s="6">
        <v>44788</v>
      </c>
      <c r="B228" s="7">
        <v>0.22065972222222222</v>
      </c>
      <c r="C228" s="7">
        <v>0.83559027777777772</v>
      </c>
      <c r="D228" s="8">
        <v>0</v>
      </c>
      <c r="E228" s="8">
        <v>19.920000000000002</v>
      </c>
      <c r="F228" s="8">
        <v>12.25</v>
      </c>
      <c r="G228" s="9">
        <v>1.77</v>
      </c>
    </row>
    <row r="229" spans="1:7" x14ac:dyDescent="0.25">
      <c r="A229" s="10">
        <v>44789</v>
      </c>
      <c r="B229" s="11">
        <v>0.22180555555555556</v>
      </c>
      <c r="C229" s="11">
        <v>0.83416666666666661</v>
      </c>
      <c r="D229" s="12">
        <v>0</v>
      </c>
      <c r="E229" s="12">
        <v>16.059999999999999</v>
      </c>
      <c r="F229" s="12">
        <v>7.46</v>
      </c>
      <c r="G229" s="13">
        <v>2.1800000000000002</v>
      </c>
    </row>
    <row r="230" spans="1:7" x14ac:dyDescent="0.25">
      <c r="A230" s="6">
        <v>44790</v>
      </c>
      <c r="B230" s="7">
        <v>0.22295138888888888</v>
      </c>
      <c r="C230" s="7">
        <v>0.83273148148148146</v>
      </c>
      <c r="D230" s="8">
        <v>0</v>
      </c>
      <c r="E230" s="8">
        <v>18.84</v>
      </c>
      <c r="F230" s="8">
        <v>10.64</v>
      </c>
      <c r="G230" s="9">
        <v>3.51</v>
      </c>
    </row>
    <row r="231" spans="1:7" x14ac:dyDescent="0.25">
      <c r="A231" s="10">
        <v>44791</v>
      </c>
      <c r="B231" s="11">
        <v>0.22409722222222223</v>
      </c>
      <c r="C231" s="11">
        <v>0.83127314814814812</v>
      </c>
      <c r="D231" s="12">
        <v>0</v>
      </c>
      <c r="E231" s="12">
        <v>18.97</v>
      </c>
      <c r="F231" s="12">
        <v>10.97</v>
      </c>
      <c r="G231" s="13">
        <v>3.09</v>
      </c>
    </row>
    <row r="232" spans="1:7" x14ac:dyDescent="0.25">
      <c r="A232" s="6">
        <v>44792</v>
      </c>
      <c r="B232" s="7">
        <v>0.22524305555555554</v>
      </c>
      <c r="C232" s="7">
        <v>0.82981481481481478</v>
      </c>
      <c r="D232" s="8">
        <v>1</v>
      </c>
      <c r="E232" s="8">
        <v>11.99</v>
      </c>
      <c r="F232" s="8">
        <v>7.68</v>
      </c>
      <c r="G232" s="9">
        <v>3.68</v>
      </c>
    </row>
    <row r="233" spans="1:7" x14ac:dyDescent="0.25">
      <c r="A233" s="10">
        <v>44793</v>
      </c>
      <c r="B233" s="11">
        <v>0.22638888888888889</v>
      </c>
      <c r="C233" s="11">
        <v>0.8283449074074074</v>
      </c>
      <c r="D233" s="12">
        <v>0</v>
      </c>
      <c r="E233" s="12">
        <v>19.649999999999999</v>
      </c>
      <c r="F233" s="12">
        <v>11.94</v>
      </c>
      <c r="G233" s="13">
        <v>3.66</v>
      </c>
    </row>
    <row r="234" spans="1:7" x14ac:dyDescent="0.25">
      <c r="A234" s="6">
        <v>44794</v>
      </c>
      <c r="B234" s="7">
        <v>0.22753472222222224</v>
      </c>
      <c r="C234" s="7">
        <v>0.82685185185185184</v>
      </c>
      <c r="D234" s="8">
        <v>1</v>
      </c>
      <c r="E234" s="8">
        <v>13.19</v>
      </c>
      <c r="F234" s="8">
        <v>8.34</v>
      </c>
      <c r="G234" s="9">
        <v>2.4</v>
      </c>
    </row>
    <row r="235" spans="1:7" x14ac:dyDescent="0.25">
      <c r="A235" s="10">
        <v>44795</v>
      </c>
      <c r="B235" s="11">
        <v>0.22868055555555555</v>
      </c>
      <c r="C235" s="11">
        <v>0.82535879629629627</v>
      </c>
      <c r="D235" s="12">
        <v>1</v>
      </c>
      <c r="E235" s="12">
        <v>14.17</v>
      </c>
      <c r="F235" s="12">
        <v>9.9700000000000006</v>
      </c>
      <c r="G235" s="13">
        <v>3.16</v>
      </c>
    </row>
    <row r="236" spans="1:7" x14ac:dyDescent="0.25">
      <c r="A236" s="6">
        <v>44796</v>
      </c>
      <c r="B236" s="7">
        <v>0.2298263888888889</v>
      </c>
      <c r="C236" s="7">
        <v>0.82385416666666667</v>
      </c>
      <c r="D236" s="8">
        <v>1</v>
      </c>
      <c r="E236" s="8">
        <v>12.08</v>
      </c>
      <c r="F236" s="8">
        <v>6.96</v>
      </c>
      <c r="G236" s="9">
        <v>2.23</v>
      </c>
    </row>
    <row r="237" spans="1:7" x14ac:dyDescent="0.25">
      <c r="A237" s="10">
        <v>44797</v>
      </c>
      <c r="B237" s="11">
        <v>0.23097222222222222</v>
      </c>
      <c r="C237" s="11">
        <v>0.82233796296296291</v>
      </c>
      <c r="D237" s="12">
        <v>0</v>
      </c>
      <c r="E237" s="12">
        <v>18.739999999999998</v>
      </c>
      <c r="F237" s="12">
        <v>10.34</v>
      </c>
      <c r="G237" s="13">
        <v>2.92</v>
      </c>
    </row>
    <row r="238" spans="1:7" x14ac:dyDescent="0.25">
      <c r="A238" s="6">
        <v>44798</v>
      </c>
      <c r="B238" s="7">
        <v>0.23211805555555556</v>
      </c>
      <c r="C238" s="7">
        <v>0.82081018518518523</v>
      </c>
      <c r="D238" s="8">
        <v>0</v>
      </c>
      <c r="E238" s="8">
        <v>17.95</v>
      </c>
      <c r="F238" s="8">
        <v>8.23</v>
      </c>
      <c r="G238" s="9">
        <v>0.78</v>
      </c>
    </row>
    <row r="239" spans="1:7" x14ac:dyDescent="0.25">
      <c r="A239" s="10">
        <v>44799</v>
      </c>
      <c r="B239" s="11">
        <v>0.23326388888888888</v>
      </c>
      <c r="C239" s="11">
        <v>0.81927083333333328</v>
      </c>
      <c r="D239" s="12">
        <v>0</v>
      </c>
      <c r="E239" s="12">
        <v>16.829999999999998</v>
      </c>
      <c r="F239" s="12">
        <v>8.83</v>
      </c>
      <c r="G239" s="13">
        <v>3.07</v>
      </c>
    </row>
    <row r="240" spans="1:7" x14ac:dyDescent="0.25">
      <c r="A240" s="6">
        <v>44800</v>
      </c>
      <c r="B240" s="7">
        <v>0.23440972222222223</v>
      </c>
      <c r="C240" s="7">
        <v>0.81773148148148145</v>
      </c>
      <c r="D240" s="8">
        <v>0</v>
      </c>
      <c r="E240" s="8">
        <v>17.09</v>
      </c>
      <c r="F240" s="8">
        <v>8.6300000000000008</v>
      </c>
      <c r="G240" s="9">
        <v>0.64</v>
      </c>
    </row>
    <row r="241" spans="1:7" x14ac:dyDescent="0.25">
      <c r="A241" s="10">
        <v>44801</v>
      </c>
      <c r="B241" s="11">
        <v>0.23555555555555555</v>
      </c>
      <c r="C241" s="11">
        <v>0.81618055555555558</v>
      </c>
      <c r="D241" s="12">
        <v>0</v>
      </c>
      <c r="E241" s="12">
        <v>18.010000000000002</v>
      </c>
      <c r="F241" s="12">
        <v>10.67</v>
      </c>
      <c r="G241" s="13">
        <v>2.95</v>
      </c>
    </row>
    <row r="242" spans="1:7" x14ac:dyDescent="0.25">
      <c r="A242" s="6">
        <v>44802</v>
      </c>
      <c r="B242" s="7">
        <v>0.23670138888888889</v>
      </c>
      <c r="C242" s="7">
        <v>0.81461805555555555</v>
      </c>
      <c r="D242" s="8">
        <v>0</v>
      </c>
      <c r="E242" s="8">
        <v>19.48</v>
      </c>
      <c r="F242" s="8">
        <v>12.16</v>
      </c>
      <c r="G242" s="9">
        <v>3.2</v>
      </c>
    </row>
    <row r="243" spans="1:7" x14ac:dyDescent="0.25">
      <c r="A243" s="10">
        <v>44803</v>
      </c>
      <c r="B243" s="11">
        <v>0.23784722222222221</v>
      </c>
      <c r="C243" s="11">
        <v>0.81304398148148149</v>
      </c>
      <c r="D243" s="12">
        <v>0</v>
      </c>
      <c r="E243" s="12">
        <v>18.11</v>
      </c>
      <c r="F243" s="12">
        <v>11.38</v>
      </c>
      <c r="G243" s="13">
        <v>2.91</v>
      </c>
    </row>
    <row r="244" spans="1:7" x14ac:dyDescent="0.25">
      <c r="A244" s="6">
        <v>44804</v>
      </c>
      <c r="B244" s="7">
        <v>0.23899305555555556</v>
      </c>
      <c r="C244" s="7">
        <v>0.81146990740740743</v>
      </c>
      <c r="D244" s="8">
        <v>0</v>
      </c>
      <c r="E244" s="8">
        <v>17.559999999999999</v>
      </c>
      <c r="F244" s="8">
        <v>9.49</v>
      </c>
      <c r="G244" s="9">
        <v>0.94</v>
      </c>
    </row>
    <row r="245" spans="1:7" x14ac:dyDescent="0.25">
      <c r="A245" s="10">
        <v>44805</v>
      </c>
      <c r="B245" s="11">
        <v>0.2401388888888889</v>
      </c>
      <c r="C245" s="11">
        <v>0.80989583333333337</v>
      </c>
      <c r="D245" s="12">
        <v>0</v>
      </c>
      <c r="E245" s="12">
        <v>16.809999999999999</v>
      </c>
      <c r="F245" s="12">
        <v>9.4600000000000009</v>
      </c>
      <c r="G245" s="13">
        <v>2.19</v>
      </c>
    </row>
    <row r="246" spans="1:7" x14ac:dyDescent="0.25">
      <c r="A246" s="6">
        <v>44806</v>
      </c>
      <c r="B246" s="7">
        <v>0.24127314814814815</v>
      </c>
      <c r="C246" s="7">
        <v>0.80829861111111112</v>
      </c>
      <c r="D246" s="8">
        <v>0</v>
      </c>
      <c r="E246" s="8">
        <v>15.05</v>
      </c>
      <c r="F246" s="8">
        <v>9.31</v>
      </c>
      <c r="G246" s="9">
        <v>3.95</v>
      </c>
    </row>
    <row r="247" spans="1:7" x14ac:dyDescent="0.25">
      <c r="A247" s="10">
        <v>44807</v>
      </c>
      <c r="B247" s="11">
        <v>0.24241898148148147</v>
      </c>
      <c r="C247" s="11">
        <v>0.80671296296296291</v>
      </c>
      <c r="D247" s="12">
        <v>0</v>
      </c>
      <c r="E247" s="12">
        <v>14.3</v>
      </c>
      <c r="F247" s="12">
        <v>8.69</v>
      </c>
      <c r="G247" s="13">
        <v>4.6900000000000004</v>
      </c>
    </row>
    <row r="248" spans="1:7" x14ac:dyDescent="0.25">
      <c r="A248" s="6">
        <v>44808</v>
      </c>
      <c r="B248" s="7">
        <v>0.24356481481481482</v>
      </c>
      <c r="C248" s="7">
        <v>0.80510416666666662</v>
      </c>
      <c r="D248" s="8">
        <v>0</v>
      </c>
      <c r="E248" s="8">
        <v>19.399999999999999</v>
      </c>
      <c r="F248" s="8">
        <v>10.84</v>
      </c>
      <c r="G248" s="9">
        <v>0.84</v>
      </c>
    </row>
    <row r="249" spans="1:7" x14ac:dyDescent="0.25">
      <c r="A249" s="10">
        <v>44809</v>
      </c>
      <c r="B249" s="11">
        <v>0.24469907407407407</v>
      </c>
      <c r="C249" s="11">
        <v>0.80350694444444448</v>
      </c>
      <c r="D249" s="12">
        <v>1</v>
      </c>
      <c r="E249" s="12">
        <v>14.15</v>
      </c>
      <c r="F249" s="12">
        <v>8.94</v>
      </c>
      <c r="G249" s="13">
        <v>3.18</v>
      </c>
    </row>
    <row r="250" spans="1:7" x14ac:dyDescent="0.25">
      <c r="A250" s="6">
        <v>44810</v>
      </c>
      <c r="B250" s="7">
        <v>0.24584490740740741</v>
      </c>
      <c r="C250" s="7">
        <v>0.80189814814814819</v>
      </c>
      <c r="D250" s="8">
        <v>2</v>
      </c>
      <c r="E250" s="8">
        <v>10.199999999999999</v>
      </c>
      <c r="F250" s="8">
        <v>6.94</v>
      </c>
      <c r="G250" s="9">
        <v>1.89</v>
      </c>
    </row>
    <row r="251" spans="1:7" x14ac:dyDescent="0.25">
      <c r="A251" s="10">
        <v>44811</v>
      </c>
      <c r="B251" s="11">
        <v>0.24699074074074073</v>
      </c>
      <c r="C251" s="11">
        <v>0.80027777777777775</v>
      </c>
      <c r="D251" s="12">
        <v>0</v>
      </c>
      <c r="E251" s="12">
        <v>19.149999999999999</v>
      </c>
      <c r="F251" s="12">
        <v>12.22</v>
      </c>
      <c r="G251" s="13">
        <v>2.98</v>
      </c>
    </row>
    <row r="252" spans="1:7" x14ac:dyDescent="0.25">
      <c r="A252" s="6">
        <v>44812</v>
      </c>
      <c r="B252" s="7">
        <v>0.24812500000000001</v>
      </c>
      <c r="C252" s="7">
        <v>0.79865740740740743</v>
      </c>
      <c r="D252" s="8">
        <v>0</v>
      </c>
      <c r="E252" s="8">
        <v>16.739999999999998</v>
      </c>
      <c r="F252" s="8">
        <v>9.15</v>
      </c>
      <c r="G252" s="9">
        <v>3.48</v>
      </c>
    </row>
    <row r="253" spans="1:7" x14ac:dyDescent="0.25">
      <c r="A253" s="10">
        <v>44813</v>
      </c>
      <c r="B253" s="11">
        <v>0.24927083333333333</v>
      </c>
      <c r="C253" s="11">
        <v>0.79703703703703699</v>
      </c>
      <c r="D253" s="12">
        <v>1</v>
      </c>
      <c r="E253" s="12">
        <v>12.97</v>
      </c>
      <c r="F253" s="12">
        <v>7.63</v>
      </c>
      <c r="G253" s="13">
        <v>2.59</v>
      </c>
    </row>
    <row r="254" spans="1:7" x14ac:dyDescent="0.25">
      <c r="A254" s="6">
        <v>44814</v>
      </c>
      <c r="B254" s="7">
        <v>0.25041666666666668</v>
      </c>
      <c r="C254" s="7">
        <v>0.79541666666666666</v>
      </c>
      <c r="D254" s="8">
        <v>0</v>
      </c>
      <c r="E254" s="8">
        <v>19.690000000000001</v>
      </c>
      <c r="F254" s="8">
        <v>11.67</v>
      </c>
      <c r="G254" s="9">
        <v>1.86</v>
      </c>
    </row>
    <row r="255" spans="1:7" x14ac:dyDescent="0.25">
      <c r="A255" s="10">
        <v>44815</v>
      </c>
      <c r="B255" s="11">
        <v>0.25155092592592593</v>
      </c>
      <c r="C255" s="11">
        <v>0.79378472222222218</v>
      </c>
      <c r="D255" s="12">
        <v>1</v>
      </c>
      <c r="E255" s="12">
        <v>15.77</v>
      </c>
      <c r="F255" s="12">
        <v>9.66</v>
      </c>
      <c r="G255" s="13">
        <v>0.95</v>
      </c>
    </row>
    <row r="256" spans="1:7" x14ac:dyDescent="0.25">
      <c r="A256" s="6">
        <v>44816</v>
      </c>
      <c r="B256" s="7">
        <v>0.25269675925925927</v>
      </c>
      <c r="C256" s="7">
        <v>0.79215277777777782</v>
      </c>
      <c r="D256" s="8">
        <v>1</v>
      </c>
      <c r="E256" s="8">
        <v>13.48</v>
      </c>
      <c r="F256" s="8">
        <v>8.56</v>
      </c>
      <c r="G256" s="9">
        <v>2.94</v>
      </c>
    </row>
    <row r="257" spans="1:7" x14ac:dyDescent="0.25">
      <c r="A257" s="10">
        <v>44817</v>
      </c>
      <c r="B257" s="11">
        <v>0.25383101851851853</v>
      </c>
      <c r="C257" s="11">
        <v>0.79052083333333334</v>
      </c>
      <c r="D257" s="12">
        <v>1</v>
      </c>
      <c r="E257" s="12">
        <v>14.44</v>
      </c>
      <c r="F257" s="12">
        <v>9.48</v>
      </c>
      <c r="G257" s="13">
        <v>2.84</v>
      </c>
    </row>
    <row r="258" spans="1:7" x14ac:dyDescent="0.25">
      <c r="A258" s="6">
        <v>44818</v>
      </c>
      <c r="B258" s="7">
        <v>0.25497685185185187</v>
      </c>
      <c r="C258" s="7">
        <v>0.78887731481481482</v>
      </c>
      <c r="D258" s="8">
        <v>0</v>
      </c>
      <c r="E258" s="8">
        <v>15.61</v>
      </c>
      <c r="F258" s="8">
        <v>8.7799999999999994</v>
      </c>
      <c r="G258" s="9">
        <v>4.95</v>
      </c>
    </row>
    <row r="259" spans="1:7" x14ac:dyDescent="0.25">
      <c r="A259" s="10">
        <v>44819</v>
      </c>
      <c r="B259" s="11">
        <v>0.25612268518518516</v>
      </c>
      <c r="C259" s="11">
        <v>0.78724537037037035</v>
      </c>
      <c r="D259" s="12">
        <v>0</v>
      </c>
      <c r="E259" s="12">
        <v>18</v>
      </c>
      <c r="F259" s="12">
        <v>9.9700000000000006</v>
      </c>
      <c r="G259" s="13">
        <v>3.65</v>
      </c>
    </row>
    <row r="260" spans="1:7" x14ac:dyDescent="0.25">
      <c r="A260" s="6">
        <v>44820</v>
      </c>
      <c r="B260" s="7">
        <v>0.25725694444444447</v>
      </c>
      <c r="C260" s="7">
        <v>0.78560185185185183</v>
      </c>
      <c r="D260" s="8">
        <v>3</v>
      </c>
      <c r="E260" s="8">
        <v>9.7799999999999994</v>
      </c>
      <c r="F260" s="8">
        <v>6.88</v>
      </c>
      <c r="G260" s="9">
        <v>4.9800000000000004</v>
      </c>
    </row>
    <row r="261" spans="1:7" x14ac:dyDescent="0.25">
      <c r="A261" s="10">
        <v>44821</v>
      </c>
      <c r="B261" s="11">
        <v>0.25840277777777776</v>
      </c>
      <c r="C261" s="11">
        <v>0.78396990740740746</v>
      </c>
      <c r="D261" s="12">
        <v>1</v>
      </c>
      <c r="E261" s="12">
        <v>13.43</v>
      </c>
      <c r="F261" s="12">
        <v>8.9700000000000006</v>
      </c>
      <c r="G261" s="13">
        <v>3.24</v>
      </c>
    </row>
    <row r="262" spans="1:7" x14ac:dyDescent="0.25">
      <c r="A262" s="6">
        <v>44822</v>
      </c>
      <c r="B262" s="7">
        <v>0.2595486111111111</v>
      </c>
      <c r="C262" s="7">
        <v>0.78232638888888884</v>
      </c>
      <c r="D262" s="8">
        <v>1</v>
      </c>
      <c r="E262" s="8">
        <v>12.57</v>
      </c>
      <c r="F262" s="8">
        <v>8.44</v>
      </c>
      <c r="G262" s="9">
        <v>3.16</v>
      </c>
    </row>
    <row r="263" spans="1:7" x14ac:dyDescent="0.25">
      <c r="A263" s="10">
        <v>44823</v>
      </c>
      <c r="B263" s="11">
        <v>0.26069444444444445</v>
      </c>
      <c r="C263" s="11">
        <v>0.78068287037037032</v>
      </c>
      <c r="D263" s="12">
        <v>2</v>
      </c>
      <c r="E263" s="12">
        <v>10.44</v>
      </c>
      <c r="F263" s="12">
        <v>7.84</v>
      </c>
      <c r="G263" s="13">
        <v>2.48</v>
      </c>
    </row>
    <row r="264" spans="1:7" x14ac:dyDescent="0.25">
      <c r="A264" s="6">
        <v>44824</v>
      </c>
      <c r="B264" s="7">
        <v>0.2618402777777778</v>
      </c>
      <c r="C264" s="7">
        <v>0.7790393518518518</v>
      </c>
      <c r="D264" s="8">
        <v>0</v>
      </c>
      <c r="E264" s="8">
        <v>14.53</v>
      </c>
      <c r="F264" s="8">
        <v>5.65</v>
      </c>
      <c r="G264" s="9">
        <v>2.94</v>
      </c>
    </row>
    <row r="265" spans="1:7" x14ac:dyDescent="0.25">
      <c r="A265" s="10">
        <v>44825</v>
      </c>
      <c r="B265" s="11">
        <v>0.26298611111111109</v>
      </c>
      <c r="C265" s="11">
        <v>0.77740740740740744</v>
      </c>
      <c r="D265" s="12">
        <v>0</v>
      </c>
      <c r="E265" s="12">
        <v>14.84</v>
      </c>
      <c r="F265" s="12">
        <v>5.95</v>
      </c>
      <c r="G265" s="13">
        <v>1.9</v>
      </c>
    </row>
    <row r="266" spans="1:7" x14ac:dyDescent="0.25">
      <c r="A266" s="6">
        <v>44826</v>
      </c>
      <c r="B266" s="7">
        <v>0.26414351851851853</v>
      </c>
      <c r="C266" s="7">
        <v>0.77576388888888892</v>
      </c>
      <c r="D266" s="8">
        <v>0</v>
      </c>
      <c r="E266" s="8">
        <v>16.510000000000002</v>
      </c>
      <c r="F266" s="8">
        <v>7.84</v>
      </c>
      <c r="G266" s="9">
        <v>0.84</v>
      </c>
    </row>
    <row r="267" spans="1:7" x14ac:dyDescent="0.25">
      <c r="A267" s="10">
        <v>44827</v>
      </c>
      <c r="B267" s="11">
        <v>0.26528935185185187</v>
      </c>
      <c r="C267" s="11">
        <v>0.7741203703703704</v>
      </c>
      <c r="D267" s="12">
        <v>0</v>
      </c>
      <c r="E267" s="12">
        <v>12.03</v>
      </c>
      <c r="F267" s="12">
        <v>6.37</v>
      </c>
      <c r="G267" s="13">
        <v>5.4</v>
      </c>
    </row>
    <row r="268" spans="1:7" x14ac:dyDescent="0.25">
      <c r="A268" s="6">
        <v>44828</v>
      </c>
      <c r="B268" s="7">
        <v>0.26643518518518516</v>
      </c>
      <c r="C268" s="7">
        <v>0.77248842592592593</v>
      </c>
      <c r="D268" s="8">
        <v>0</v>
      </c>
      <c r="E268" s="8">
        <v>15.85</v>
      </c>
      <c r="F268" s="8">
        <v>6.64</v>
      </c>
      <c r="G268" s="9">
        <v>2.69</v>
      </c>
    </row>
    <row r="269" spans="1:7" x14ac:dyDescent="0.25">
      <c r="A269" s="10">
        <v>44829</v>
      </c>
      <c r="B269" s="11">
        <v>0.2675925925925926</v>
      </c>
      <c r="C269" s="11">
        <v>0.77084490740740741</v>
      </c>
      <c r="D269" s="12">
        <v>0</v>
      </c>
      <c r="E269" s="12">
        <v>18.45</v>
      </c>
      <c r="F269" s="12">
        <v>8.5399999999999991</v>
      </c>
      <c r="G269" s="13">
        <v>1.02</v>
      </c>
    </row>
    <row r="270" spans="1:7" x14ac:dyDescent="0.25">
      <c r="A270" s="6">
        <v>44830</v>
      </c>
      <c r="B270" s="7">
        <v>0.26874999999999999</v>
      </c>
      <c r="C270" s="7">
        <v>0.76921296296296293</v>
      </c>
      <c r="D270" s="8">
        <v>1</v>
      </c>
      <c r="E270" s="8">
        <v>11.93</v>
      </c>
      <c r="F270" s="8">
        <v>7.93</v>
      </c>
      <c r="G270" s="9">
        <v>3.04</v>
      </c>
    </row>
    <row r="271" spans="1:7" x14ac:dyDescent="0.25">
      <c r="A271" s="10">
        <v>44831</v>
      </c>
      <c r="B271" s="11">
        <v>0.26990740740740743</v>
      </c>
      <c r="C271" s="11">
        <v>0.76758101851851857</v>
      </c>
      <c r="D271" s="12">
        <v>0</v>
      </c>
      <c r="E271" s="12">
        <v>13.34</v>
      </c>
      <c r="F271" s="12">
        <v>8.39</v>
      </c>
      <c r="G271" s="13">
        <v>2.84</v>
      </c>
    </row>
    <row r="272" spans="1:7" x14ac:dyDescent="0.25">
      <c r="A272" s="6">
        <v>44832</v>
      </c>
      <c r="B272" s="7">
        <v>0.27106481481481481</v>
      </c>
      <c r="C272" s="7">
        <v>0.76596064814814813</v>
      </c>
      <c r="D272" s="8">
        <v>0</v>
      </c>
      <c r="E272" s="8">
        <v>13.66</v>
      </c>
      <c r="F272" s="8">
        <v>7.55</v>
      </c>
      <c r="G272" s="9">
        <v>2.14</v>
      </c>
    </row>
    <row r="273" spans="1:7" x14ac:dyDescent="0.25">
      <c r="A273" s="10">
        <v>44833</v>
      </c>
      <c r="B273" s="11">
        <v>0.27223379629629629</v>
      </c>
      <c r="C273" s="11">
        <v>0.76432870370370365</v>
      </c>
      <c r="D273" s="12">
        <v>2</v>
      </c>
      <c r="E273" s="12">
        <v>9.33</v>
      </c>
      <c r="F273" s="12">
        <v>5.86</v>
      </c>
      <c r="G273" s="13">
        <v>2.19</v>
      </c>
    </row>
    <row r="274" spans="1:7" x14ac:dyDescent="0.25">
      <c r="A274" s="6">
        <v>44834</v>
      </c>
      <c r="B274" s="7">
        <v>0.27339120370370368</v>
      </c>
      <c r="C274" s="7">
        <v>0.76270833333333332</v>
      </c>
      <c r="D274" s="8">
        <v>0</v>
      </c>
      <c r="E274" s="8">
        <v>12.98</v>
      </c>
      <c r="F274" s="8">
        <v>6.32</v>
      </c>
      <c r="G274" s="9">
        <v>3.02</v>
      </c>
    </row>
    <row r="275" spans="1:7" x14ac:dyDescent="0.25">
      <c r="A275" s="10">
        <v>44835</v>
      </c>
      <c r="B275" s="11">
        <v>0.27456018518518521</v>
      </c>
      <c r="C275" s="11">
        <v>0.76108796296296299</v>
      </c>
      <c r="D275" s="12">
        <v>3</v>
      </c>
      <c r="E275" s="12">
        <v>6.6</v>
      </c>
      <c r="F275" s="12">
        <v>5.68</v>
      </c>
      <c r="G275" s="13">
        <v>4.16</v>
      </c>
    </row>
    <row r="276" spans="1:7" x14ac:dyDescent="0.25">
      <c r="A276" s="6">
        <v>44836</v>
      </c>
      <c r="B276" s="7">
        <v>0.27572916666666669</v>
      </c>
      <c r="C276" s="7">
        <v>0.75947916666666671</v>
      </c>
      <c r="D276" s="8">
        <v>2</v>
      </c>
      <c r="E276" s="8">
        <v>8.07</v>
      </c>
      <c r="F276" s="8">
        <v>6.79</v>
      </c>
      <c r="G276" s="9">
        <v>5.03</v>
      </c>
    </row>
    <row r="277" spans="1:7" x14ac:dyDescent="0.25">
      <c r="A277" s="10">
        <v>44837</v>
      </c>
      <c r="B277" s="11">
        <v>0.27689814814814817</v>
      </c>
      <c r="C277" s="11">
        <v>0.75787037037037042</v>
      </c>
      <c r="D277" s="12">
        <v>4</v>
      </c>
      <c r="E277" s="12">
        <v>4.42</v>
      </c>
      <c r="F277" s="12">
        <v>3.32</v>
      </c>
      <c r="G277" s="13">
        <v>3.56</v>
      </c>
    </row>
    <row r="278" spans="1:7" x14ac:dyDescent="0.25">
      <c r="A278" s="6">
        <v>44838</v>
      </c>
      <c r="B278" s="7">
        <v>0.27807870370370369</v>
      </c>
      <c r="C278" s="7">
        <v>0.75626157407407413</v>
      </c>
      <c r="D278" s="8">
        <v>4</v>
      </c>
      <c r="E278" s="8">
        <v>4.3899999999999997</v>
      </c>
      <c r="F278" s="8">
        <v>1.26</v>
      </c>
      <c r="G278" s="9">
        <v>1.19</v>
      </c>
    </row>
    <row r="279" spans="1:7" x14ac:dyDescent="0.25">
      <c r="A279" s="10">
        <v>44839</v>
      </c>
      <c r="B279" s="11">
        <v>0.27925925925925926</v>
      </c>
      <c r="C279" s="11">
        <v>0.75466435185185188</v>
      </c>
      <c r="D279" s="12">
        <v>4</v>
      </c>
      <c r="E279" s="12">
        <v>5.07</v>
      </c>
      <c r="F279" s="12">
        <v>2.68</v>
      </c>
      <c r="G279" s="13">
        <v>2.14</v>
      </c>
    </row>
    <row r="280" spans="1:7" x14ac:dyDescent="0.25">
      <c r="A280" s="6">
        <v>44840</v>
      </c>
      <c r="B280" s="7">
        <v>0.28043981481481484</v>
      </c>
      <c r="C280" s="7">
        <v>0.75306712962962963</v>
      </c>
      <c r="D280" s="8">
        <v>4</v>
      </c>
      <c r="E280" s="8">
        <v>5.66</v>
      </c>
      <c r="F280" s="8">
        <v>3.96</v>
      </c>
      <c r="G280" s="9">
        <v>2.1800000000000002</v>
      </c>
    </row>
    <row r="281" spans="1:7" x14ac:dyDescent="0.25">
      <c r="A281" s="10">
        <v>44841</v>
      </c>
      <c r="B281" s="11">
        <v>0.28162037037037035</v>
      </c>
      <c r="C281" s="11">
        <v>0.75148148148148153</v>
      </c>
      <c r="D281" s="12">
        <v>4</v>
      </c>
      <c r="E281" s="12">
        <v>5.19</v>
      </c>
      <c r="F281" s="12">
        <v>3.12</v>
      </c>
      <c r="G281" s="13">
        <v>4.0599999999999996</v>
      </c>
    </row>
    <row r="282" spans="1:7" x14ac:dyDescent="0.25">
      <c r="A282" s="6">
        <v>44842</v>
      </c>
      <c r="B282" s="7">
        <v>0.28281250000000002</v>
      </c>
      <c r="C282" s="7">
        <v>0.74989583333333332</v>
      </c>
      <c r="D282" s="8">
        <v>7</v>
      </c>
      <c r="E282" s="8">
        <v>3.5</v>
      </c>
      <c r="F282" s="8">
        <v>1.65</v>
      </c>
      <c r="G282" s="9">
        <v>4.26</v>
      </c>
    </row>
    <row r="283" spans="1:7" x14ac:dyDescent="0.25">
      <c r="A283" s="10">
        <v>44843</v>
      </c>
      <c r="B283" s="11">
        <v>0.28399305555555554</v>
      </c>
      <c r="C283" s="11">
        <v>0.74832175925925926</v>
      </c>
      <c r="D283" s="12">
        <v>1</v>
      </c>
      <c r="E283" s="12">
        <v>9.49</v>
      </c>
      <c r="F283" s="12">
        <v>4.95</v>
      </c>
      <c r="G283" s="13">
        <v>2.89</v>
      </c>
    </row>
    <row r="284" spans="1:7" x14ac:dyDescent="0.25">
      <c r="A284" s="6">
        <v>44844</v>
      </c>
      <c r="B284" s="7">
        <v>0.28519675925925925</v>
      </c>
      <c r="C284" s="7">
        <v>0.74675925925925923</v>
      </c>
      <c r="D284" s="8">
        <v>3</v>
      </c>
      <c r="E284" s="8">
        <v>6.48</v>
      </c>
      <c r="F284" s="8">
        <v>4.8499999999999996</v>
      </c>
      <c r="G284" s="9">
        <v>3.41</v>
      </c>
    </row>
    <row r="285" spans="1:7" x14ac:dyDescent="0.25">
      <c r="A285" s="10">
        <v>44845</v>
      </c>
      <c r="B285" s="11">
        <v>0.28638888888888892</v>
      </c>
      <c r="C285" s="11">
        <v>0.74519675925925921</v>
      </c>
      <c r="D285" s="12">
        <v>3</v>
      </c>
      <c r="E285" s="12">
        <v>5.86</v>
      </c>
      <c r="F285" s="12">
        <v>4.97</v>
      </c>
      <c r="G285" s="13">
        <v>4.0199999999999996</v>
      </c>
    </row>
    <row r="286" spans="1:7" x14ac:dyDescent="0.25">
      <c r="A286" s="6">
        <v>44846</v>
      </c>
      <c r="B286" s="7">
        <v>0.28759259259259257</v>
      </c>
      <c r="C286" s="7">
        <v>0.74364583333333334</v>
      </c>
      <c r="D286" s="8">
        <v>3</v>
      </c>
      <c r="E286" s="8">
        <v>5.92</v>
      </c>
      <c r="F286" s="8">
        <v>4.3600000000000003</v>
      </c>
      <c r="G286" s="9">
        <v>2.68</v>
      </c>
    </row>
    <row r="287" spans="1:7" x14ac:dyDescent="0.25">
      <c r="A287" s="10">
        <v>44847</v>
      </c>
      <c r="B287" s="11">
        <v>0.28879629629629627</v>
      </c>
      <c r="C287" s="11">
        <v>0.74209490740740736</v>
      </c>
      <c r="D287" s="12">
        <v>5</v>
      </c>
      <c r="E287" s="12">
        <v>3.69</v>
      </c>
      <c r="F287" s="12">
        <v>1.58</v>
      </c>
      <c r="G287" s="13">
        <v>2.4300000000000002</v>
      </c>
    </row>
    <row r="288" spans="1:7" x14ac:dyDescent="0.25">
      <c r="A288" s="6">
        <v>44848</v>
      </c>
      <c r="B288" s="7">
        <v>0.28999999999999998</v>
      </c>
      <c r="C288" s="7">
        <v>0.74056712962962967</v>
      </c>
      <c r="D288" s="8">
        <v>1</v>
      </c>
      <c r="E288" s="8">
        <v>8.8800000000000008</v>
      </c>
      <c r="F288" s="8">
        <v>3.95</v>
      </c>
      <c r="G288" s="9">
        <v>2.44</v>
      </c>
    </row>
    <row r="289" spans="1:7" x14ac:dyDescent="0.25">
      <c r="A289" s="10">
        <v>44849</v>
      </c>
      <c r="B289" s="11">
        <v>0.29121527777777778</v>
      </c>
      <c r="C289" s="11">
        <v>0.73903935185185188</v>
      </c>
      <c r="D289" s="12">
        <v>1</v>
      </c>
      <c r="E289" s="12">
        <v>8.56</v>
      </c>
      <c r="F289" s="12">
        <v>2.86</v>
      </c>
      <c r="G289" s="13">
        <v>1.61</v>
      </c>
    </row>
    <row r="290" spans="1:7" x14ac:dyDescent="0.25">
      <c r="A290" s="6">
        <v>44850</v>
      </c>
      <c r="B290" s="7">
        <v>0.29243055555555558</v>
      </c>
      <c r="C290" s="7">
        <v>0.73752314814814812</v>
      </c>
      <c r="D290" s="8">
        <v>0</v>
      </c>
      <c r="E290" s="8">
        <v>14.7</v>
      </c>
      <c r="F290" s="8">
        <v>5.42</v>
      </c>
      <c r="G290" s="9">
        <v>2.48</v>
      </c>
    </row>
    <row r="291" spans="1:7" x14ac:dyDescent="0.25">
      <c r="A291" s="10">
        <v>44851</v>
      </c>
      <c r="B291" s="11">
        <v>0.29364583333333333</v>
      </c>
      <c r="C291" s="11">
        <v>0.73601851851851852</v>
      </c>
      <c r="D291" s="12">
        <v>1</v>
      </c>
      <c r="E291" s="12">
        <v>11.59</v>
      </c>
      <c r="F291" s="12">
        <v>6.72</v>
      </c>
      <c r="G291" s="13">
        <v>2.4700000000000002</v>
      </c>
    </row>
    <row r="292" spans="1:7" x14ac:dyDescent="0.25">
      <c r="A292" s="6">
        <v>44852</v>
      </c>
      <c r="B292" s="7">
        <v>0.29486111111111113</v>
      </c>
      <c r="C292" s="7">
        <v>0.73451388888888891</v>
      </c>
      <c r="D292" s="8">
        <v>6</v>
      </c>
      <c r="E292" s="8">
        <v>3.26</v>
      </c>
      <c r="F292" s="8">
        <v>1.96</v>
      </c>
      <c r="G292" s="9">
        <v>3.14</v>
      </c>
    </row>
    <row r="293" spans="1:7" x14ac:dyDescent="0.25">
      <c r="A293" s="10">
        <v>44853</v>
      </c>
      <c r="B293" s="11">
        <v>0.29608796296296297</v>
      </c>
      <c r="C293" s="11">
        <v>0.73303240740740738</v>
      </c>
      <c r="D293" s="12">
        <v>4</v>
      </c>
      <c r="E293" s="12">
        <v>4.9000000000000004</v>
      </c>
      <c r="F293" s="12">
        <v>1.87</v>
      </c>
      <c r="G293" s="13">
        <v>3.61</v>
      </c>
    </row>
    <row r="294" spans="1:7" x14ac:dyDescent="0.25">
      <c r="A294" s="6">
        <v>44854</v>
      </c>
      <c r="B294" s="7">
        <v>0.29731481481481481</v>
      </c>
      <c r="C294" s="7">
        <v>0.7315625</v>
      </c>
      <c r="D294" s="8">
        <v>1</v>
      </c>
      <c r="E294" s="8">
        <v>9.3800000000000008</v>
      </c>
      <c r="F294" s="8">
        <v>5.46</v>
      </c>
      <c r="G294" s="9">
        <v>3.45</v>
      </c>
    </row>
    <row r="295" spans="1:7" x14ac:dyDescent="0.25">
      <c r="A295" s="10">
        <v>44855</v>
      </c>
      <c r="B295" s="11">
        <v>0.29855324074074074</v>
      </c>
      <c r="C295" s="11">
        <v>0.73009259259259263</v>
      </c>
      <c r="D295" s="12">
        <v>3</v>
      </c>
      <c r="E295" s="12">
        <v>5.29</v>
      </c>
      <c r="F295" s="12">
        <v>3.94</v>
      </c>
      <c r="G295" s="13">
        <v>3.48</v>
      </c>
    </row>
    <row r="296" spans="1:7" x14ac:dyDescent="0.25">
      <c r="A296" s="6">
        <v>44856</v>
      </c>
      <c r="B296" s="7">
        <v>0.29978009259259258</v>
      </c>
      <c r="C296" s="7">
        <v>0.72864583333333333</v>
      </c>
      <c r="D296" s="8">
        <v>0</v>
      </c>
      <c r="E296" s="8">
        <v>13.23</v>
      </c>
      <c r="F296" s="8">
        <v>6.74</v>
      </c>
      <c r="G296" s="9">
        <v>2.69</v>
      </c>
    </row>
    <row r="297" spans="1:7" x14ac:dyDescent="0.25">
      <c r="A297" s="10">
        <v>44857</v>
      </c>
      <c r="B297" s="11">
        <v>0.30101851851851852</v>
      </c>
      <c r="C297" s="11">
        <v>0.72721064814814818</v>
      </c>
      <c r="D297" s="12">
        <v>7</v>
      </c>
      <c r="E297" s="12">
        <v>3.97</v>
      </c>
      <c r="F297" s="12">
        <v>1.64</v>
      </c>
      <c r="G297" s="13">
        <v>4.84</v>
      </c>
    </row>
    <row r="298" spans="1:7" x14ac:dyDescent="0.25">
      <c r="A298" s="6">
        <v>44858</v>
      </c>
      <c r="B298" s="7">
        <v>0.30225694444444445</v>
      </c>
      <c r="C298" s="7">
        <v>0.72578703703703706</v>
      </c>
      <c r="D298" s="8">
        <v>0</v>
      </c>
      <c r="E298" s="8">
        <v>12.38</v>
      </c>
      <c r="F298" s="8">
        <v>6.35</v>
      </c>
      <c r="G298" s="9">
        <v>3.66</v>
      </c>
    </row>
    <row r="299" spans="1:7" x14ac:dyDescent="0.25">
      <c r="A299" s="10">
        <v>44859</v>
      </c>
      <c r="B299" s="11">
        <v>0.30349537037037039</v>
      </c>
      <c r="C299" s="11">
        <v>0.72437499999999999</v>
      </c>
      <c r="D299" s="12">
        <v>4</v>
      </c>
      <c r="E299" s="12">
        <v>4.58</v>
      </c>
      <c r="F299" s="12">
        <v>2.5299999999999998</v>
      </c>
      <c r="G299" s="13">
        <v>4.57</v>
      </c>
    </row>
    <row r="300" spans="1:7" x14ac:dyDescent="0.25">
      <c r="A300" s="6">
        <v>44860</v>
      </c>
      <c r="B300" s="7">
        <v>0.30474537037037036</v>
      </c>
      <c r="C300" s="7">
        <v>0.72298611111111111</v>
      </c>
      <c r="D300" s="8">
        <v>6</v>
      </c>
      <c r="E300" s="8">
        <v>2.06</v>
      </c>
      <c r="F300" s="8">
        <v>1.06</v>
      </c>
      <c r="G300" s="9">
        <v>3.84</v>
      </c>
    </row>
    <row r="301" spans="1:7" x14ac:dyDescent="0.25">
      <c r="A301" s="10">
        <v>44861</v>
      </c>
      <c r="B301" s="11">
        <v>0.30599537037037039</v>
      </c>
      <c r="C301" s="11">
        <v>0.72159722222222222</v>
      </c>
      <c r="D301" s="12">
        <v>1</v>
      </c>
      <c r="E301" s="12">
        <v>8.7799999999999994</v>
      </c>
      <c r="F301" s="12">
        <v>2.09</v>
      </c>
      <c r="G301" s="13">
        <v>1.58</v>
      </c>
    </row>
    <row r="302" spans="1:7" x14ac:dyDescent="0.25">
      <c r="A302" s="6">
        <v>44862</v>
      </c>
      <c r="B302" s="7">
        <v>0.30724537037037036</v>
      </c>
      <c r="C302" s="7">
        <v>0.72023148148148153</v>
      </c>
      <c r="D302" s="8">
        <v>1</v>
      </c>
      <c r="E302" s="8">
        <v>8.06</v>
      </c>
      <c r="F302" s="8">
        <v>1.98</v>
      </c>
      <c r="G302" s="9">
        <v>1.08</v>
      </c>
    </row>
    <row r="303" spans="1:7" x14ac:dyDescent="0.25">
      <c r="A303" s="10">
        <v>44863</v>
      </c>
      <c r="B303" s="11">
        <v>0.30849537037037039</v>
      </c>
      <c r="C303" s="11">
        <v>0.71888888888888891</v>
      </c>
      <c r="D303" s="12">
        <v>4</v>
      </c>
      <c r="E303" s="12">
        <v>4.7300000000000004</v>
      </c>
      <c r="F303" s="12">
        <v>3.79</v>
      </c>
      <c r="G303" s="13">
        <v>3.08</v>
      </c>
    </row>
    <row r="304" spans="1:7" x14ac:dyDescent="0.25">
      <c r="A304" s="6">
        <v>44864</v>
      </c>
      <c r="B304" s="7">
        <v>0.26807870370370368</v>
      </c>
      <c r="C304" s="7">
        <v>0.67587962962962966</v>
      </c>
      <c r="D304" s="8">
        <v>3</v>
      </c>
      <c r="E304" s="8">
        <v>5.33</v>
      </c>
      <c r="F304" s="8">
        <v>2.98</v>
      </c>
      <c r="G304" s="9">
        <v>3.05</v>
      </c>
    </row>
    <row r="305" spans="1:7" x14ac:dyDescent="0.25">
      <c r="A305" s="10">
        <v>44865</v>
      </c>
      <c r="B305" s="11">
        <v>0.26932870370370371</v>
      </c>
      <c r="C305" s="11">
        <v>0.67457175925925927</v>
      </c>
      <c r="D305" s="12">
        <v>6</v>
      </c>
      <c r="E305" s="12">
        <v>2.13</v>
      </c>
      <c r="F305" s="12">
        <v>1.67</v>
      </c>
      <c r="G305" s="13">
        <v>4.21</v>
      </c>
    </row>
    <row r="306" spans="1:7" x14ac:dyDescent="0.25">
      <c r="A306" s="6">
        <v>44866</v>
      </c>
      <c r="B306" s="7">
        <v>0.27057870370370368</v>
      </c>
      <c r="C306" s="7">
        <v>0.67327546296296292</v>
      </c>
      <c r="D306" s="8">
        <v>8</v>
      </c>
      <c r="E306" s="8">
        <v>1.23</v>
      </c>
      <c r="F306" s="8">
        <v>0.56999999999999995</v>
      </c>
      <c r="G306" s="9">
        <v>5.08</v>
      </c>
    </row>
    <row r="307" spans="1:7" x14ac:dyDescent="0.25">
      <c r="A307" s="10">
        <v>44867</v>
      </c>
      <c r="B307" s="11">
        <v>0.27184027777777775</v>
      </c>
      <c r="C307" s="11">
        <v>0.67199074074074072</v>
      </c>
      <c r="D307" s="12">
        <v>3</v>
      </c>
      <c r="E307" s="12">
        <v>5.84</v>
      </c>
      <c r="F307" s="12">
        <v>4.32</v>
      </c>
      <c r="G307" s="13">
        <v>2.95</v>
      </c>
    </row>
    <row r="308" spans="1:7" x14ac:dyDescent="0.25">
      <c r="A308" s="6">
        <v>44868</v>
      </c>
      <c r="B308" s="7">
        <v>0.27309027777777778</v>
      </c>
      <c r="C308" s="7">
        <v>0.67072916666666671</v>
      </c>
      <c r="D308" s="8">
        <v>3</v>
      </c>
      <c r="E308" s="8">
        <v>4.55</v>
      </c>
      <c r="F308" s="8">
        <v>3.94</v>
      </c>
      <c r="G308" s="9">
        <v>6.57</v>
      </c>
    </row>
    <row r="309" spans="1:7" x14ac:dyDescent="0.25">
      <c r="A309" s="10">
        <v>44869</v>
      </c>
      <c r="B309" s="11">
        <v>0.27434027777777775</v>
      </c>
      <c r="C309" s="11">
        <v>0.66947916666666663</v>
      </c>
      <c r="D309" s="12">
        <v>3</v>
      </c>
      <c r="E309" s="12">
        <v>4.7</v>
      </c>
      <c r="F309" s="12">
        <v>3.64</v>
      </c>
      <c r="G309" s="13">
        <v>4.21</v>
      </c>
    </row>
    <row r="310" spans="1:7" x14ac:dyDescent="0.25">
      <c r="A310" s="6">
        <v>44870</v>
      </c>
      <c r="B310" s="7">
        <v>0.27560185185185188</v>
      </c>
      <c r="C310" s="7">
        <v>0.66826388888888888</v>
      </c>
      <c r="D310" s="8">
        <v>2</v>
      </c>
      <c r="E310" s="8">
        <v>5.19</v>
      </c>
      <c r="F310" s="8">
        <v>3.65</v>
      </c>
      <c r="G310" s="9">
        <v>5.32</v>
      </c>
    </row>
    <row r="311" spans="1:7" x14ac:dyDescent="0.25">
      <c r="A311" s="10">
        <v>44871</v>
      </c>
      <c r="B311" s="11">
        <v>0.27685185185185185</v>
      </c>
      <c r="C311" s="11">
        <v>0.66706018518518517</v>
      </c>
      <c r="D311" s="12">
        <v>1</v>
      </c>
      <c r="E311" s="12">
        <v>7.75</v>
      </c>
      <c r="F311" s="12">
        <v>3.84</v>
      </c>
      <c r="G311" s="13">
        <v>3.65</v>
      </c>
    </row>
    <row r="312" spans="1:7" x14ac:dyDescent="0.25">
      <c r="A312" s="6">
        <v>44872</v>
      </c>
      <c r="B312" s="7">
        <v>0.27810185185185188</v>
      </c>
      <c r="C312" s="7">
        <v>0.66587962962962965</v>
      </c>
      <c r="D312" s="8">
        <v>4</v>
      </c>
      <c r="E312" s="8">
        <v>4.07</v>
      </c>
      <c r="F312" s="8">
        <v>3.21</v>
      </c>
      <c r="G312" s="9">
        <v>3.48</v>
      </c>
    </row>
    <row r="313" spans="1:7" x14ac:dyDescent="0.25">
      <c r="A313" s="10">
        <v>44873</v>
      </c>
      <c r="B313" s="11">
        <v>0.27935185185185185</v>
      </c>
      <c r="C313" s="11">
        <v>0.66471064814814818</v>
      </c>
      <c r="D313" s="12">
        <v>3</v>
      </c>
      <c r="E313" s="12">
        <v>5.63</v>
      </c>
      <c r="F313" s="12">
        <v>4.2300000000000004</v>
      </c>
      <c r="G313" s="13">
        <v>4.6100000000000003</v>
      </c>
    </row>
    <row r="314" spans="1:7" x14ac:dyDescent="0.25">
      <c r="A314" s="6">
        <v>44874</v>
      </c>
      <c r="B314" s="7">
        <v>0.28059027777777779</v>
      </c>
      <c r="C314" s="7">
        <v>0.66357638888888892</v>
      </c>
      <c r="D314" s="8">
        <v>6</v>
      </c>
      <c r="E314" s="8">
        <v>3.14</v>
      </c>
      <c r="F314" s="8">
        <v>1.65</v>
      </c>
      <c r="G314" s="9">
        <v>2.96</v>
      </c>
    </row>
    <row r="315" spans="1:7" x14ac:dyDescent="0.25">
      <c r="A315" s="10">
        <v>44875</v>
      </c>
      <c r="B315" s="11">
        <v>0.28184027777777776</v>
      </c>
      <c r="C315" s="11">
        <v>0.66246527777777775</v>
      </c>
      <c r="D315" s="12">
        <v>0</v>
      </c>
      <c r="E315" s="12">
        <v>11.93</v>
      </c>
      <c r="F315" s="12">
        <v>6.46</v>
      </c>
      <c r="G315" s="13">
        <v>4.0599999999999996</v>
      </c>
    </row>
    <row r="316" spans="1:7" x14ac:dyDescent="0.25">
      <c r="A316" s="6">
        <v>44876</v>
      </c>
      <c r="B316" s="7">
        <v>0.28307870370370369</v>
      </c>
      <c r="C316" s="7">
        <v>0.66136574074074073</v>
      </c>
      <c r="D316" s="8">
        <v>4</v>
      </c>
      <c r="E316" s="8">
        <v>5.15</v>
      </c>
      <c r="F316" s="8">
        <v>2.4900000000000002</v>
      </c>
      <c r="G316" s="9">
        <v>3.84</v>
      </c>
    </row>
    <row r="317" spans="1:7" x14ac:dyDescent="0.25">
      <c r="A317" s="10">
        <v>44877</v>
      </c>
      <c r="B317" s="11">
        <v>0.28430555555555553</v>
      </c>
      <c r="C317" s="11">
        <v>0.66030092592592593</v>
      </c>
      <c r="D317" s="12">
        <v>3</v>
      </c>
      <c r="E317" s="12">
        <v>4.75</v>
      </c>
      <c r="F317" s="12">
        <v>3.49</v>
      </c>
      <c r="G317" s="13">
        <v>5.09</v>
      </c>
    </row>
    <row r="318" spans="1:7" x14ac:dyDescent="0.25">
      <c r="A318" s="6">
        <v>44878</v>
      </c>
      <c r="B318" s="7">
        <v>0.28554398148148147</v>
      </c>
      <c r="C318" s="7">
        <v>0.65925925925925921</v>
      </c>
      <c r="D318" s="8">
        <v>3</v>
      </c>
      <c r="E318" s="8">
        <v>4.16</v>
      </c>
      <c r="F318" s="8">
        <v>3.02</v>
      </c>
      <c r="G318" s="9">
        <v>4.1900000000000004</v>
      </c>
    </row>
    <row r="319" spans="1:7" x14ac:dyDescent="0.25">
      <c r="A319" s="10">
        <v>44879</v>
      </c>
      <c r="B319" s="11">
        <v>0.28675925925925927</v>
      </c>
      <c r="C319" s="11">
        <v>0.65824074074074079</v>
      </c>
      <c r="D319" s="12">
        <v>2</v>
      </c>
      <c r="E319" s="12">
        <v>5.19</v>
      </c>
      <c r="F319" s="12">
        <v>2.94</v>
      </c>
      <c r="G319" s="13">
        <v>4.9400000000000004</v>
      </c>
    </row>
    <row r="320" spans="1:7" x14ac:dyDescent="0.25">
      <c r="A320" s="6">
        <v>44880</v>
      </c>
      <c r="B320" s="7">
        <v>0.28797453703703701</v>
      </c>
      <c r="C320" s="7">
        <v>0.65725694444444449</v>
      </c>
      <c r="D320" s="8">
        <v>8</v>
      </c>
      <c r="E320" s="8">
        <v>1.38</v>
      </c>
      <c r="F320" s="8">
        <v>0.4</v>
      </c>
      <c r="G320" s="9">
        <v>6.48</v>
      </c>
    </row>
    <row r="321" spans="1:7" x14ac:dyDescent="0.25">
      <c r="A321" s="10">
        <v>44881</v>
      </c>
      <c r="B321" s="11">
        <v>0.28918981481481482</v>
      </c>
      <c r="C321" s="11">
        <v>0.65628472222222223</v>
      </c>
      <c r="D321" s="12">
        <v>8</v>
      </c>
      <c r="E321" s="12">
        <v>1.53</v>
      </c>
      <c r="F321" s="12">
        <v>0.23</v>
      </c>
      <c r="G321" s="13">
        <v>3.95</v>
      </c>
    </row>
    <row r="322" spans="1:7" x14ac:dyDescent="0.25">
      <c r="A322" s="6">
        <v>44882</v>
      </c>
      <c r="B322" s="7">
        <v>0.29038194444444443</v>
      </c>
      <c r="C322" s="7">
        <v>0.65534722222222219</v>
      </c>
      <c r="D322" s="8">
        <v>2</v>
      </c>
      <c r="E322" s="8">
        <v>4.1900000000000004</v>
      </c>
      <c r="F322" s="8">
        <v>1.92</v>
      </c>
      <c r="G322" s="9">
        <v>3.24</v>
      </c>
    </row>
    <row r="323" spans="1:7" x14ac:dyDescent="0.25">
      <c r="A323" s="10">
        <v>44883</v>
      </c>
      <c r="B323" s="11">
        <v>0.2915740740740741</v>
      </c>
      <c r="C323" s="11">
        <v>0.6544444444444445</v>
      </c>
      <c r="D323" s="12">
        <v>5</v>
      </c>
      <c r="E323" s="12">
        <v>3.63</v>
      </c>
      <c r="F323" s="12">
        <v>1.48</v>
      </c>
      <c r="G323" s="13">
        <v>2.96</v>
      </c>
    </row>
    <row r="324" spans="1:7" x14ac:dyDescent="0.25">
      <c r="A324" s="6">
        <v>44884</v>
      </c>
      <c r="B324" s="7">
        <v>0.29276620370370371</v>
      </c>
      <c r="C324" s="7">
        <v>0.65356481481481477</v>
      </c>
      <c r="D324" s="8">
        <v>5</v>
      </c>
      <c r="E324" s="8">
        <v>3.6</v>
      </c>
      <c r="F324" s="8">
        <v>2.06</v>
      </c>
      <c r="G324" s="9">
        <v>2.72</v>
      </c>
    </row>
    <row r="325" spans="1:7" x14ac:dyDescent="0.25">
      <c r="A325" s="10">
        <v>44885</v>
      </c>
      <c r="B325" s="11">
        <v>0.29393518518518519</v>
      </c>
      <c r="C325" s="11">
        <v>0.65270833333333333</v>
      </c>
      <c r="D325" s="12">
        <v>2</v>
      </c>
      <c r="E325" s="12">
        <v>6.14</v>
      </c>
      <c r="F325" s="12">
        <v>5.07</v>
      </c>
      <c r="G325" s="13">
        <v>3.94</v>
      </c>
    </row>
    <row r="326" spans="1:7" x14ac:dyDescent="0.25">
      <c r="A326" s="6">
        <v>44886</v>
      </c>
      <c r="B326" s="7">
        <v>0.29509259259259257</v>
      </c>
      <c r="C326" s="7">
        <v>0.65188657407407402</v>
      </c>
      <c r="D326" s="8">
        <v>5</v>
      </c>
      <c r="E326" s="8">
        <v>3.16</v>
      </c>
      <c r="F326" s="8">
        <v>2.11</v>
      </c>
      <c r="G326" s="9">
        <v>4.08</v>
      </c>
    </row>
    <row r="327" spans="1:7" x14ac:dyDescent="0.25">
      <c r="A327" s="10">
        <v>44887</v>
      </c>
      <c r="B327" s="11">
        <v>0.29623842592592592</v>
      </c>
      <c r="C327" s="11">
        <v>0.65109953703703705</v>
      </c>
      <c r="D327" s="12">
        <v>4</v>
      </c>
      <c r="E327" s="12">
        <v>4.0999999999999996</v>
      </c>
      <c r="F327" s="12">
        <v>3.41</v>
      </c>
      <c r="G327" s="13">
        <v>4.6100000000000003</v>
      </c>
    </row>
    <row r="328" spans="1:7" x14ac:dyDescent="0.25">
      <c r="A328" s="6">
        <v>44888</v>
      </c>
      <c r="B328" s="7">
        <v>0.29737268518518517</v>
      </c>
      <c r="C328" s="7">
        <v>0.65034722222222219</v>
      </c>
      <c r="D328" s="8">
        <v>7</v>
      </c>
      <c r="E328" s="8">
        <v>2.91</v>
      </c>
      <c r="F328" s="8">
        <v>1.06</v>
      </c>
      <c r="G328" s="9">
        <v>5.07</v>
      </c>
    </row>
    <row r="329" spans="1:7" x14ac:dyDescent="0.25">
      <c r="A329" s="10">
        <v>44889</v>
      </c>
      <c r="B329" s="11">
        <v>0.29849537037037038</v>
      </c>
      <c r="C329" s="11">
        <v>0.64961805555555552</v>
      </c>
      <c r="D329" s="12">
        <v>6</v>
      </c>
      <c r="E329" s="12">
        <v>3.18</v>
      </c>
      <c r="F329" s="12">
        <v>1.37</v>
      </c>
      <c r="G329" s="13">
        <v>4.16</v>
      </c>
    </row>
    <row r="330" spans="1:7" x14ac:dyDescent="0.25">
      <c r="A330" s="6">
        <v>44890</v>
      </c>
      <c r="B330" s="7">
        <v>0.2996064814814815</v>
      </c>
      <c r="C330" s="7">
        <v>0.64892361111111108</v>
      </c>
      <c r="D330" s="8">
        <v>7</v>
      </c>
      <c r="E330" s="8">
        <v>2.52</v>
      </c>
      <c r="F330" s="8">
        <v>1.46</v>
      </c>
      <c r="G330" s="9">
        <v>5.24</v>
      </c>
    </row>
    <row r="331" spans="1:7" x14ac:dyDescent="0.25">
      <c r="A331" s="10">
        <v>44891</v>
      </c>
      <c r="B331" s="11">
        <v>0.30069444444444443</v>
      </c>
      <c r="C331" s="11">
        <v>0.64826388888888886</v>
      </c>
      <c r="D331" s="12">
        <v>6</v>
      </c>
      <c r="E331" s="12">
        <v>3.85</v>
      </c>
      <c r="F331" s="12">
        <v>1.1599999999999999</v>
      </c>
      <c r="G331" s="13">
        <v>6.08</v>
      </c>
    </row>
    <row r="332" spans="1:7" x14ac:dyDescent="0.25">
      <c r="A332" s="6">
        <v>44892</v>
      </c>
      <c r="B332" s="7">
        <v>0.30177083333333332</v>
      </c>
      <c r="C332" s="7">
        <v>0.64763888888888888</v>
      </c>
      <c r="D332" s="8">
        <v>8</v>
      </c>
      <c r="E332" s="8">
        <v>1.84</v>
      </c>
      <c r="F332" s="8">
        <v>0.47</v>
      </c>
      <c r="G332" s="9">
        <v>4.66</v>
      </c>
    </row>
    <row r="333" spans="1:7" x14ac:dyDescent="0.25">
      <c r="A333" s="10">
        <v>44893</v>
      </c>
      <c r="B333" s="11">
        <v>0.30282407407407408</v>
      </c>
      <c r="C333" s="11">
        <v>0.64704861111111112</v>
      </c>
      <c r="D333" s="12">
        <v>8</v>
      </c>
      <c r="E333" s="12">
        <v>1.59</v>
      </c>
      <c r="F333" s="12">
        <v>0.42</v>
      </c>
      <c r="G333" s="13">
        <v>4.9800000000000004</v>
      </c>
    </row>
    <row r="334" spans="1:7" x14ac:dyDescent="0.25">
      <c r="A334" s="6">
        <v>44894</v>
      </c>
      <c r="B334" s="7">
        <v>0.30385416666666665</v>
      </c>
      <c r="C334" s="7">
        <v>0.64649305555555558</v>
      </c>
      <c r="D334" s="8">
        <v>8</v>
      </c>
      <c r="E334" s="8">
        <v>1.34</v>
      </c>
      <c r="F334" s="8">
        <v>0.27</v>
      </c>
      <c r="G334" s="9">
        <v>3.95</v>
      </c>
    </row>
    <row r="335" spans="1:7" x14ac:dyDescent="0.25">
      <c r="A335" s="10">
        <v>44895</v>
      </c>
      <c r="B335" s="11">
        <v>0.30487268518518518</v>
      </c>
      <c r="C335" s="11">
        <v>0.64597222222222217</v>
      </c>
      <c r="D335" s="12">
        <v>8</v>
      </c>
      <c r="E335" s="12">
        <v>1.1399999999999999</v>
      </c>
      <c r="F335" s="12">
        <v>0</v>
      </c>
      <c r="G335" s="13">
        <v>7.02</v>
      </c>
    </row>
    <row r="336" spans="1:7" x14ac:dyDescent="0.25">
      <c r="A336" s="6">
        <v>44896</v>
      </c>
      <c r="B336" s="7">
        <v>0.30586805555555557</v>
      </c>
      <c r="C336" s="7">
        <v>0.64549768518518513</v>
      </c>
      <c r="D336" s="8">
        <v>7</v>
      </c>
      <c r="E336" s="8">
        <v>2.4900000000000002</v>
      </c>
      <c r="F336" s="8">
        <v>1.06</v>
      </c>
      <c r="G336" s="9">
        <v>6.09</v>
      </c>
    </row>
    <row r="337" spans="1:7" x14ac:dyDescent="0.25">
      <c r="A337" s="10">
        <v>44897</v>
      </c>
      <c r="B337" s="11">
        <v>0.30684027777777778</v>
      </c>
      <c r="C337" s="11">
        <v>0.64504629629629628</v>
      </c>
      <c r="D337" s="12">
        <v>6</v>
      </c>
      <c r="E337" s="12">
        <v>2.37</v>
      </c>
      <c r="F337" s="12">
        <v>1.6</v>
      </c>
      <c r="G337" s="13">
        <v>5.87</v>
      </c>
    </row>
    <row r="338" spans="1:7" x14ac:dyDescent="0.25">
      <c r="A338" s="6">
        <v>44898</v>
      </c>
      <c r="B338" s="7">
        <v>0.30778935185185186</v>
      </c>
      <c r="C338" s="7">
        <v>0.6446412037037037</v>
      </c>
      <c r="D338" s="8">
        <v>5</v>
      </c>
      <c r="E338" s="8">
        <v>3.36</v>
      </c>
      <c r="F338" s="8">
        <v>2.41</v>
      </c>
      <c r="G338" s="9">
        <v>4.95</v>
      </c>
    </row>
    <row r="339" spans="1:7" x14ac:dyDescent="0.25">
      <c r="A339" s="10">
        <v>44899</v>
      </c>
      <c r="B339" s="11">
        <v>0.3087152777777778</v>
      </c>
      <c r="C339" s="11">
        <v>0.64425925925925931</v>
      </c>
      <c r="D339" s="12">
        <v>8</v>
      </c>
      <c r="E339" s="12">
        <v>1.32</v>
      </c>
      <c r="F339" s="12">
        <v>0.54</v>
      </c>
      <c r="G339" s="13">
        <v>5.16</v>
      </c>
    </row>
    <row r="340" spans="1:7" x14ac:dyDescent="0.25">
      <c r="A340" s="6">
        <v>44900</v>
      </c>
      <c r="B340" s="7">
        <v>0.30961805555555555</v>
      </c>
      <c r="C340" s="7">
        <v>0.64393518518518522</v>
      </c>
      <c r="D340" s="8">
        <v>7</v>
      </c>
      <c r="E340" s="8">
        <v>2.48</v>
      </c>
      <c r="F340" s="8">
        <v>0.49</v>
      </c>
      <c r="G340" s="9">
        <v>5.04</v>
      </c>
    </row>
    <row r="341" spans="1:7" x14ac:dyDescent="0.25">
      <c r="A341" s="10">
        <v>44901</v>
      </c>
      <c r="B341" s="11">
        <v>0.31049768518518517</v>
      </c>
      <c r="C341" s="11">
        <v>0.64363425925925921</v>
      </c>
      <c r="D341" s="12">
        <v>7</v>
      </c>
      <c r="E341" s="12">
        <v>2.2000000000000002</v>
      </c>
      <c r="F341" s="12">
        <v>0.61</v>
      </c>
      <c r="G341" s="13">
        <v>4.92</v>
      </c>
    </row>
    <row r="342" spans="1:7" x14ac:dyDescent="0.25">
      <c r="A342" s="6">
        <v>44902</v>
      </c>
      <c r="B342" s="7">
        <v>0.31134259259259262</v>
      </c>
      <c r="C342" s="7">
        <v>0.64337962962962958</v>
      </c>
      <c r="D342" s="8">
        <v>7</v>
      </c>
      <c r="E342" s="8">
        <v>2.87</v>
      </c>
      <c r="F342" s="8">
        <v>0.35</v>
      </c>
      <c r="G342" s="9">
        <v>5.03</v>
      </c>
    </row>
    <row r="343" spans="1:7" x14ac:dyDescent="0.25">
      <c r="A343" s="10">
        <v>44903</v>
      </c>
      <c r="B343" s="11">
        <v>0.31216435185185187</v>
      </c>
      <c r="C343" s="11">
        <v>0.64317129629629632</v>
      </c>
      <c r="D343" s="12">
        <v>7</v>
      </c>
      <c r="E343" s="12">
        <v>2.8</v>
      </c>
      <c r="F343" s="12">
        <v>1.24</v>
      </c>
      <c r="G343" s="13">
        <v>4.29</v>
      </c>
    </row>
    <row r="344" spans="1:7" x14ac:dyDescent="0.25">
      <c r="A344" s="6">
        <v>44904</v>
      </c>
      <c r="B344" s="7">
        <v>0.3129513888888889</v>
      </c>
      <c r="C344" s="7">
        <v>0.64298611111111115</v>
      </c>
      <c r="D344" s="8">
        <v>6</v>
      </c>
      <c r="E344" s="8">
        <v>2.95</v>
      </c>
      <c r="F344" s="8">
        <v>1.42</v>
      </c>
      <c r="G344" s="9">
        <v>4.25</v>
      </c>
    </row>
    <row r="345" spans="1:7" x14ac:dyDescent="0.25">
      <c r="A345" s="10">
        <v>44905</v>
      </c>
      <c r="B345" s="11">
        <v>0.3137152777777778</v>
      </c>
      <c r="C345" s="11">
        <v>0.64285879629629628</v>
      </c>
      <c r="D345" s="12">
        <v>6</v>
      </c>
      <c r="E345" s="12">
        <v>3.38</v>
      </c>
      <c r="F345" s="12">
        <v>1.66</v>
      </c>
      <c r="G345" s="13">
        <v>5.07</v>
      </c>
    </row>
    <row r="346" spans="1:7" x14ac:dyDescent="0.25">
      <c r="A346" s="6">
        <v>44906</v>
      </c>
      <c r="B346" s="7">
        <v>0.31444444444444447</v>
      </c>
      <c r="C346" s="7">
        <v>0.64275462962962959</v>
      </c>
      <c r="D346" s="8">
        <v>7</v>
      </c>
      <c r="E346" s="8">
        <v>2.11</v>
      </c>
      <c r="F346" s="8">
        <v>0.84</v>
      </c>
      <c r="G346" s="9">
        <v>5.38</v>
      </c>
    </row>
    <row r="347" spans="1:7" x14ac:dyDescent="0.25">
      <c r="A347" s="10">
        <v>44907</v>
      </c>
      <c r="B347" s="11">
        <v>0.31515046296296295</v>
      </c>
      <c r="C347" s="11">
        <v>0.64269675925925929</v>
      </c>
      <c r="D347" s="12">
        <v>8</v>
      </c>
      <c r="E347" s="12">
        <v>1.31</v>
      </c>
      <c r="F347" s="12">
        <v>0.05</v>
      </c>
      <c r="G347" s="13">
        <v>6.3</v>
      </c>
    </row>
    <row r="348" spans="1:7" x14ac:dyDescent="0.25">
      <c r="A348" s="6">
        <v>44908</v>
      </c>
      <c r="B348" s="7">
        <v>0.31581018518518517</v>
      </c>
      <c r="C348" s="7">
        <v>0.64268518518518514</v>
      </c>
      <c r="D348" s="8">
        <v>7</v>
      </c>
      <c r="E348" s="8">
        <v>2.0299999999999998</v>
      </c>
      <c r="F348" s="8">
        <v>1.02</v>
      </c>
      <c r="G348" s="9">
        <v>6.12</v>
      </c>
    </row>
    <row r="349" spans="1:7" x14ac:dyDescent="0.25">
      <c r="A349" s="10">
        <v>44909</v>
      </c>
      <c r="B349" s="11">
        <v>0.31644675925925925</v>
      </c>
      <c r="C349" s="11">
        <v>0.64270833333333333</v>
      </c>
      <c r="D349" s="12">
        <v>8</v>
      </c>
      <c r="E349" s="12">
        <v>1.5</v>
      </c>
      <c r="F349" s="12">
        <v>0.14000000000000001</v>
      </c>
      <c r="G349" s="13">
        <v>6.01</v>
      </c>
    </row>
    <row r="350" spans="1:7" x14ac:dyDescent="0.25">
      <c r="A350" s="6">
        <v>44910</v>
      </c>
      <c r="B350" s="7">
        <v>0.3170486111111111</v>
      </c>
      <c r="C350" s="7">
        <v>0.64277777777777778</v>
      </c>
      <c r="D350" s="8">
        <v>5</v>
      </c>
      <c r="E350" s="8">
        <v>3.8</v>
      </c>
      <c r="F350" s="8">
        <v>0.24</v>
      </c>
      <c r="G350" s="9">
        <v>4.92</v>
      </c>
    </row>
    <row r="351" spans="1:7" x14ac:dyDescent="0.25">
      <c r="A351" s="10">
        <v>44911</v>
      </c>
      <c r="B351" s="11">
        <v>0.31761574074074073</v>
      </c>
      <c r="C351" s="11">
        <v>0.64288194444444446</v>
      </c>
      <c r="D351" s="12">
        <v>7</v>
      </c>
      <c r="E351" s="12">
        <v>2.11</v>
      </c>
      <c r="F351" s="12">
        <v>0.6</v>
      </c>
      <c r="G351" s="13">
        <v>4.95</v>
      </c>
    </row>
    <row r="352" spans="1:7" x14ac:dyDescent="0.25">
      <c r="A352" s="6">
        <v>44912</v>
      </c>
      <c r="B352" s="7">
        <v>0.31813657407407409</v>
      </c>
      <c r="C352" s="7">
        <v>0.64303240740740741</v>
      </c>
      <c r="D352" s="8">
        <v>7</v>
      </c>
      <c r="E352" s="8">
        <v>2.2200000000000002</v>
      </c>
      <c r="F352" s="8">
        <v>0.95</v>
      </c>
      <c r="G352" s="9">
        <v>6.02</v>
      </c>
    </row>
    <row r="353" spans="1:7" x14ac:dyDescent="0.25">
      <c r="A353" s="10">
        <v>44913</v>
      </c>
      <c r="B353" s="11">
        <v>0.31863425925925926</v>
      </c>
      <c r="C353" s="11">
        <v>0.64321759259259259</v>
      </c>
      <c r="D353" s="12">
        <v>7</v>
      </c>
      <c r="E353" s="12">
        <v>2.82</v>
      </c>
      <c r="F353" s="12">
        <v>0.3</v>
      </c>
      <c r="G353" s="13">
        <v>4.6500000000000004</v>
      </c>
    </row>
    <row r="354" spans="1:7" x14ac:dyDescent="0.25">
      <c r="A354" s="6">
        <v>44914</v>
      </c>
      <c r="B354" s="7">
        <v>0.3190972222222222</v>
      </c>
      <c r="C354" s="7">
        <v>0.64344907407407403</v>
      </c>
      <c r="D354" s="8">
        <v>8</v>
      </c>
      <c r="E354" s="8">
        <v>1.25</v>
      </c>
      <c r="F354" s="8">
        <v>0.32</v>
      </c>
      <c r="G354" s="9">
        <v>6.04</v>
      </c>
    </row>
    <row r="355" spans="1:7" x14ac:dyDescent="0.25">
      <c r="A355" s="10">
        <v>44915</v>
      </c>
      <c r="B355" s="11">
        <v>0.31951388888888888</v>
      </c>
      <c r="C355" s="11">
        <v>0.64371527777777782</v>
      </c>
      <c r="D355" s="12">
        <v>8</v>
      </c>
      <c r="E355" s="12">
        <v>1.55</v>
      </c>
      <c r="F355" s="12">
        <v>0.12</v>
      </c>
      <c r="G355" s="13">
        <v>4.43</v>
      </c>
    </row>
    <row r="356" spans="1:7" x14ac:dyDescent="0.25">
      <c r="A356" s="6">
        <v>44916</v>
      </c>
      <c r="B356" s="7">
        <v>0.31989583333333332</v>
      </c>
      <c r="C356" s="7">
        <v>0.64402777777777775</v>
      </c>
      <c r="D356" s="8">
        <v>8</v>
      </c>
      <c r="E356" s="8">
        <v>1.77</v>
      </c>
      <c r="F356" s="8">
        <v>0.14000000000000001</v>
      </c>
      <c r="G356" s="9">
        <v>6.21</v>
      </c>
    </row>
    <row r="357" spans="1:7" x14ac:dyDescent="0.25">
      <c r="A357" s="10">
        <v>44917</v>
      </c>
      <c r="B357" s="11">
        <v>0.32023148148148151</v>
      </c>
      <c r="C357" s="11">
        <v>0.64437500000000003</v>
      </c>
      <c r="D357" s="12">
        <v>8</v>
      </c>
      <c r="E357" s="12">
        <v>1.31</v>
      </c>
      <c r="F357" s="12">
        <v>0.17</v>
      </c>
      <c r="G357" s="13">
        <v>4.8499999999999996</v>
      </c>
    </row>
    <row r="358" spans="1:7" x14ac:dyDescent="0.25">
      <c r="A358" s="6">
        <v>44918</v>
      </c>
      <c r="B358" s="7">
        <v>0.3205439814814815</v>
      </c>
      <c r="C358" s="7">
        <v>0.64475694444444442</v>
      </c>
      <c r="D358" s="8">
        <v>6</v>
      </c>
      <c r="E358" s="8">
        <v>3.04</v>
      </c>
      <c r="F358" s="8">
        <v>0.72</v>
      </c>
      <c r="G358" s="9">
        <v>4.12</v>
      </c>
    </row>
    <row r="359" spans="1:7" x14ac:dyDescent="0.25">
      <c r="A359" s="10">
        <v>44919</v>
      </c>
      <c r="B359" s="11">
        <v>0.32081018518518517</v>
      </c>
      <c r="C359" s="11">
        <v>0.64518518518518519</v>
      </c>
      <c r="D359" s="12">
        <v>8</v>
      </c>
      <c r="E359" s="12">
        <v>1.0900000000000001</v>
      </c>
      <c r="F359" s="12">
        <v>0.09</v>
      </c>
      <c r="G359" s="13">
        <v>6.07</v>
      </c>
    </row>
    <row r="360" spans="1:7" x14ac:dyDescent="0.25">
      <c r="A360" s="6">
        <v>44920</v>
      </c>
      <c r="B360" s="7">
        <v>0.32103009259259258</v>
      </c>
      <c r="C360" s="7">
        <v>0.64564814814814819</v>
      </c>
      <c r="D360" s="8">
        <v>7</v>
      </c>
      <c r="E360" s="8">
        <v>2.92</v>
      </c>
      <c r="F360" s="8">
        <v>1.05</v>
      </c>
      <c r="G360" s="9">
        <v>4.1399999999999997</v>
      </c>
    </row>
    <row r="361" spans="1:7" x14ac:dyDescent="0.25">
      <c r="A361" s="10">
        <v>44921</v>
      </c>
      <c r="B361" s="11">
        <v>0.32121527777777775</v>
      </c>
      <c r="C361" s="11">
        <v>0.64614583333333331</v>
      </c>
      <c r="D361" s="12">
        <v>6</v>
      </c>
      <c r="E361" s="12">
        <v>3.24</v>
      </c>
      <c r="F361" s="12">
        <v>2.04</v>
      </c>
      <c r="G361" s="13">
        <v>5.0199999999999996</v>
      </c>
    </row>
    <row r="362" spans="1:7" x14ac:dyDescent="0.25">
      <c r="A362" s="6">
        <v>44922</v>
      </c>
      <c r="B362" s="7">
        <v>0.32136574074074076</v>
      </c>
      <c r="C362" s="7">
        <v>0.64667824074074076</v>
      </c>
      <c r="D362" s="8">
        <v>5</v>
      </c>
      <c r="E362" s="8">
        <v>3.79</v>
      </c>
      <c r="F362" s="8">
        <v>2.61</v>
      </c>
      <c r="G362" s="9">
        <v>4.6500000000000004</v>
      </c>
    </row>
    <row r="363" spans="1:7" x14ac:dyDescent="0.25">
      <c r="A363" s="10">
        <v>44923</v>
      </c>
      <c r="B363" s="11">
        <v>0.32146990740740738</v>
      </c>
      <c r="C363" s="11">
        <v>0.64725694444444448</v>
      </c>
      <c r="D363" s="12">
        <v>8</v>
      </c>
      <c r="E363" s="12">
        <v>1.54</v>
      </c>
      <c r="F363" s="12">
        <v>0.36</v>
      </c>
      <c r="G363" s="13">
        <v>4.1900000000000004</v>
      </c>
    </row>
    <row r="364" spans="1:7" x14ac:dyDescent="0.25">
      <c r="A364" s="6">
        <v>44924</v>
      </c>
      <c r="B364" s="7">
        <v>0.32153935185185184</v>
      </c>
      <c r="C364" s="7">
        <v>0.64787037037037032</v>
      </c>
      <c r="D364" s="8">
        <v>8</v>
      </c>
      <c r="E364" s="8">
        <v>1.21</v>
      </c>
      <c r="F364" s="8">
        <v>0.24</v>
      </c>
      <c r="G364" s="9">
        <v>5.39</v>
      </c>
    </row>
    <row r="365" spans="1:7" x14ac:dyDescent="0.25">
      <c r="A365" s="10">
        <v>44925</v>
      </c>
      <c r="B365" s="11">
        <v>0.32156249999999997</v>
      </c>
      <c r="C365" s="11">
        <v>0.64850694444444446</v>
      </c>
      <c r="D365" s="12">
        <v>5</v>
      </c>
      <c r="E365" s="12">
        <v>3.76</v>
      </c>
      <c r="F365" s="12">
        <v>0.22</v>
      </c>
      <c r="G365" s="13">
        <v>4.0599999999999996</v>
      </c>
    </row>
    <row r="366" spans="1:7" x14ac:dyDescent="0.25">
      <c r="A366" s="14">
        <v>44926</v>
      </c>
      <c r="B366" s="15">
        <v>0.32155092592592593</v>
      </c>
      <c r="C366" s="15">
        <v>0.64918981481481486</v>
      </c>
      <c r="D366" s="1">
        <v>8</v>
      </c>
      <c r="E366" s="1">
        <v>1.98</v>
      </c>
      <c r="F366" s="1">
        <v>0.03</v>
      </c>
      <c r="G366" s="2">
        <v>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A057-A9CD-4A0C-9F0D-733080DB2FA3}">
  <dimension ref="A1:J366"/>
  <sheetViews>
    <sheetView workbookViewId="0">
      <selection activeCell="J3" sqref="J3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</cols>
  <sheetData>
    <row r="1" spans="1:1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6" t="s">
        <v>7</v>
      </c>
    </row>
    <row r="2" spans="1:10" x14ac:dyDescent="0.25">
      <c r="A2" s="6">
        <v>44562</v>
      </c>
      <c r="B2" s="7">
        <v>0.32148148148148148</v>
      </c>
      <c r="C2" s="7">
        <v>0.65008101851851852</v>
      </c>
      <c r="D2" s="8">
        <v>0</v>
      </c>
      <c r="E2" s="8">
        <v>7.78</v>
      </c>
      <c r="F2" s="8">
        <v>3.29</v>
      </c>
      <c r="G2" s="9">
        <v>4.5599999999999996</v>
      </c>
      <c r="H2">
        <f>G2+E2-F2</f>
        <v>9.0500000000000007</v>
      </c>
      <c r="J2">
        <f>SUM(H2:H366)</f>
        <v>2715.320000000002</v>
      </c>
    </row>
    <row r="3" spans="1:10" x14ac:dyDescent="0.25">
      <c r="A3" s="10">
        <v>44563</v>
      </c>
      <c r="B3" s="11">
        <v>0.3213773148148148</v>
      </c>
      <c r="C3" s="11">
        <v>0.65083333333333337</v>
      </c>
      <c r="D3" s="12">
        <v>4</v>
      </c>
      <c r="E3" s="12">
        <v>4.47</v>
      </c>
      <c r="F3" s="12">
        <v>1.23</v>
      </c>
      <c r="G3" s="13">
        <v>3.99</v>
      </c>
      <c r="H3">
        <f t="shared" ref="H3:H66" si="0">G3+E3-F3</f>
        <v>7.23</v>
      </c>
    </row>
    <row r="4" spans="1:10" x14ac:dyDescent="0.25">
      <c r="A4" s="6">
        <v>44564</v>
      </c>
      <c r="B4" s="7">
        <v>0.32123842592592594</v>
      </c>
      <c r="C4" s="7">
        <v>0.65162037037037035</v>
      </c>
      <c r="D4" s="8">
        <v>4</v>
      </c>
      <c r="E4" s="8">
        <v>6.02</v>
      </c>
      <c r="F4" s="8">
        <v>4.74</v>
      </c>
      <c r="G4" s="9">
        <v>2.56</v>
      </c>
      <c r="H4">
        <f t="shared" si="0"/>
        <v>3.84</v>
      </c>
    </row>
    <row r="5" spans="1:10" x14ac:dyDescent="0.25">
      <c r="A5" s="10">
        <v>44565</v>
      </c>
      <c r="B5" s="11">
        <v>0.32105324074074076</v>
      </c>
      <c r="C5" s="11">
        <v>0.65243055555555551</v>
      </c>
      <c r="D5" s="12">
        <v>6</v>
      </c>
      <c r="E5" s="12">
        <v>2.63</v>
      </c>
      <c r="F5" s="12">
        <v>1.22</v>
      </c>
      <c r="G5" s="13">
        <v>5.22</v>
      </c>
      <c r="H5">
        <f t="shared" si="0"/>
        <v>6.63</v>
      </c>
    </row>
    <row r="6" spans="1:10" x14ac:dyDescent="0.25">
      <c r="A6" s="6">
        <v>44566</v>
      </c>
      <c r="B6" s="7">
        <v>0.32083333333333336</v>
      </c>
      <c r="C6" s="7">
        <v>0.65327546296296302</v>
      </c>
      <c r="D6" s="8">
        <v>2</v>
      </c>
      <c r="E6" s="8">
        <v>7.99</v>
      </c>
      <c r="F6" s="8">
        <v>5.68</v>
      </c>
      <c r="G6" s="9">
        <v>4.22</v>
      </c>
      <c r="H6">
        <f t="shared" si="0"/>
        <v>6.5300000000000011</v>
      </c>
    </row>
    <row r="7" spans="1:10" x14ac:dyDescent="0.25">
      <c r="A7" s="10">
        <v>44567</v>
      </c>
      <c r="B7" s="11">
        <v>0.32057870370370373</v>
      </c>
      <c r="C7" s="11">
        <v>0.65414351851851849</v>
      </c>
      <c r="D7" s="12">
        <v>3</v>
      </c>
      <c r="E7" s="12">
        <v>4.6500000000000004</v>
      </c>
      <c r="F7" s="12">
        <v>3.24</v>
      </c>
      <c r="G7" s="13">
        <v>2.57</v>
      </c>
      <c r="H7">
        <f t="shared" si="0"/>
        <v>3.9800000000000004</v>
      </c>
    </row>
    <row r="8" spans="1:10" x14ac:dyDescent="0.25">
      <c r="A8" s="6">
        <v>44568</v>
      </c>
      <c r="B8" s="7">
        <v>0.32027777777777777</v>
      </c>
      <c r="C8" s="7">
        <v>0.65504629629629629</v>
      </c>
      <c r="D8" s="8">
        <v>1</v>
      </c>
      <c r="E8" s="8">
        <v>7.91</v>
      </c>
      <c r="F8" s="8">
        <v>2.34</v>
      </c>
      <c r="G8" s="9">
        <v>2.2200000000000002</v>
      </c>
      <c r="H8">
        <f t="shared" si="0"/>
        <v>7.7900000000000009</v>
      </c>
    </row>
    <row r="9" spans="1:10" x14ac:dyDescent="0.25">
      <c r="A9" s="10">
        <v>44569</v>
      </c>
      <c r="B9" s="11">
        <v>0.31994212962962965</v>
      </c>
      <c r="C9" s="11">
        <v>0.65597222222222218</v>
      </c>
      <c r="D9" s="12">
        <v>1</v>
      </c>
      <c r="E9" s="12">
        <v>7.24</v>
      </c>
      <c r="F9" s="12">
        <v>2.58</v>
      </c>
      <c r="G9" s="13">
        <v>2.4700000000000002</v>
      </c>
      <c r="H9">
        <f t="shared" si="0"/>
        <v>7.1300000000000008</v>
      </c>
    </row>
    <row r="10" spans="1:10" x14ac:dyDescent="0.25">
      <c r="A10" s="6">
        <v>44570</v>
      </c>
      <c r="B10" s="7">
        <v>0.31957175925925924</v>
      </c>
      <c r="C10" s="7">
        <v>0.6569328703703704</v>
      </c>
      <c r="D10" s="8">
        <v>1</v>
      </c>
      <c r="E10" s="8">
        <v>7.96</v>
      </c>
      <c r="F10" s="8">
        <v>2.74</v>
      </c>
      <c r="G10" s="9">
        <v>1.95</v>
      </c>
      <c r="H10">
        <f t="shared" si="0"/>
        <v>7.17</v>
      </c>
    </row>
    <row r="11" spans="1:10" x14ac:dyDescent="0.25">
      <c r="A11" s="10">
        <v>44571</v>
      </c>
      <c r="B11" s="11">
        <v>0.31915509259259262</v>
      </c>
      <c r="C11" s="11">
        <v>0.65790509259259256</v>
      </c>
      <c r="D11" s="12">
        <v>3</v>
      </c>
      <c r="E11" s="12">
        <v>2.37</v>
      </c>
      <c r="F11" s="12">
        <v>0.96</v>
      </c>
      <c r="G11" s="13">
        <v>2.3199999999999998</v>
      </c>
      <c r="H11">
        <f t="shared" si="0"/>
        <v>3.7299999999999995</v>
      </c>
    </row>
    <row r="12" spans="1:10" x14ac:dyDescent="0.25">
      <c r="A12" s="6">
        <v>44572</v>
      </c>
      <c r="B12" s="7">
        <v>0.31870370370370371</v>
      </c>
      <c r="C12" s="7">
        <v>0.65891203703703705</v>
      </c>
      <c r="D12" s="8">
        <v>5</v>
      </c>
      <c r="E12" s="8">
        <v>1.56</v>
      </c>
      <c r="F12" s="8">
        <v>0.45</v>
      </c>
      <c r="G12" s="9">
        <v>3.21</v>
      </c>
      <c r="H12">
        <f t="shared" si="0"/>
        <v>4.3199999999999994</v>
      </c>
    </row>
    <row r="13" spans="1:10" x14ac:dyDescent="0.25">
      <c r="A13" s="10">
        <v>44573</v>
      </c>
      <c r="B13" s="11">
        <v>0.31821759259259258</v>
      </c>
      <c r="C13" s="11">
        <v>0.65993055555555558</v>
      </c>
      <c r="D13" s="12">
        <v>6</v>
      </c>
      <c r="E13" s="12">
        <v>1.27</v>
      </c>
      <c r="F13" s="12">
        <v>0.22</v>
      </c>
      <c r="G13" s="13">
        <v>3.34</v>
      </c>
      <c r="H13">
        <f t="shared" si="0"/>
        <v>4.3899999999999997</v>
      </c>
    </row>
    <row r="14" spans="1:10" x14ac:dyDescent="0.25">
      <c r="A14" s="6">
        <v>44574</v>
      </c>
      <c r="B14" s="7">
        <v>0.31769675925925928</v>
      </c>
      <c r="C14" s="7">
        <v>0.66098379629629633</v>
      </c>
      <c r="D14" s="8">
        <v>0</v>
      </c>
      <c r="E14" s="8">
        <v>8.6300000000000008</v>
      </c>
      <c r="F14" s="8">
        <v>3.47</v>
      </c>
      <c r="G14" s="9">
        <v>2.2599999999999998</v>
      </c>
      <c r="H14">
        <f t="shared" si="0"/>
        <v>7.42</v>
      </c>
    </row>
    <row r="15" spans="1:10" x14ac:dyDescent="0.25">
      <c r="A15" s="10">
        <v>44575</v>
      </c>
      <c r="B15" s="11">
        <v>0.31714120370370369</v>
      </c>
      <c r="C15" s="11">
        <v>0.66204861111111113</v>
      </c>
      <c r="D15" s="12">
        <v>1</v>
      </c>
      <c r="E15" s="12">
        <v>7.36</v>
      </c>
      <c r="F15" s="12">
        <v>2.2200000000000002</v>
      </c>
      <c r="G15" s="13">
        <v>2.56</v>
      </c>
      <c r="H15">
        <f t="shared" si="0"/>
        <v>7.6999999999999993</v>
      </c>
    </row>
    <row r="16" spans="1:10" x14ac:dyDescent="0.25">
      <c r="A16" s="6">
        <v>44576</v>
      </c>
      <c r="B16" s="7">
        <v>0.31655092592592593</v>
      </c>
      <c r="C16" s="7">
        <v>0.66313657407407411</v>
      </c>
      <c r="D16" s="8">
        <v>5</v>
      </c>
      <c r="E16" s="8">
        <v>2.11</v>
      </c>
      <c r="F16" s="8">
        <v>0.45</v>
      </c>
      <c r="G16" s="9">
        <v>2.21</v>
      </c>
      <c r="H16">
        <f t="shared" si="0"/>
        <v>3.87</v>
      </c>
    </row>
    <row r="17" spans="1:8" x14ac:dyDescent="0.25">
      <c r="A17" s="10">
        <v>44577</v>
      </c>
      <c r="B17" s="11">
        <v>0.31592592592592594</v>
      </c>
      <c r="C17" s="11">
        <v>0.66424768518518518</v>
      </c>
      <c r="D17" s="12">
        <v>3</v>
      </c>
      <c r="E17" s="12">
        <v>5.31</v>
      </c>
      <c r="F17" s="12">
        <v>3.45</v>
      </c>
      <c r="G17" s="13">
        <v>1.22</v>
      </c>
      <c r="H17">
        <f t="shared" si="0"/>
        <v>3.0799999999999992</v>
      </c>
    </row>
    <row r="18" spans="1:8" x14ac:dyDescent="0.25">
      <c r="A18" s="6">
        <v>44578</v>
      </c>
      <c r="B18" s="7">
        <v>0.31526620370370373</v>
      </c>
      <c r="C18" s="7">
        <v>0.66537037037037039</v>
      </c>
      <c r="D18" s="8">
        <v>2</v>
      </c>
      <c r="E18" s="8">
        <v>5.93</v>
      </c>
      <c r="F18" s="8">
        <v>1.25</v>
      </c>
      <c r="G18" s="9">
        <v>3.34</v>
      </c>
      <c r="H18">
        <f t="shared" si="0"/>
        <v>8.02</v>
      </c>
    </row>
    <row r="19" spans="1:8" x14ac:dyDescent="0.25">
      <c r="A19" s="10">
        <v>44579</v>
      </c>
      <c r="B19" s="11">
        <v>0.31457175925925923</v>
      </c>
      <c r="C19" s="11">
        <v>0.66650462962962964</v>
      </c>
      <c r="D19" s="12">
        <v>6</v>
      </c>
      <c r="E19" s="12">
        <v>2.19</v>
      </c>
      <c r="F19" s="12">
        <v>0.21</v>
      </c>
      <c r="G19" s="13">
        <v>3.22</v>
      </c>
      <c r="H19">
        <f t="shared" si="0"/>
        <v>5.2</v>
      </c>
    </row>
    <row r="20" spans="1:8" x14ac:dyDescent="0.25">
      <c r="A20" s="6">
        <v>44580</v>
      </c>
      <c r="B20" s="7">
        <v>0.31384259259259262</v>
      </c>
      <c r="C20" s="7">
        <v>0.66766203703703708</v>
      </c>
      <c r="D20" s="8">
        <v>4</v>
      </c>
      <c r="E20" s="8">
        <v>3.53</v>
      </c>
      <c r="F20" s="8">
        <v>0.34</v>
      </c>
      <c r="G20" s="9">
        <v>1.25</v>
      </c>
      <c r="H20">
        <f t="shared" si="0"/>
        <v>4.4399999999999995</v>
      </c>
    </row>
    <row r="21" spans="1:8" x14ac:dyDescent="0.25">
      <c r="A21" s="10">
        <v>44581</v>
      </c>
      <c r="B21" s="11">
        <v>0.31309027777777776</v>
      </c>
      <c r="C21" s="11">
        <v>0.66883101851851856</v>
      </c>
      <c r="D21" s="12">
        <v>3</v>
      </c>
      <c r="E21" s="12">
        <v>4.33</v>
      </c>
      <c r="F21" s="12">
        <v>0.99</v>
      </c>
      <c r="G21" s="13">
        <v>0.21</v>
      </c>
      <c r="H21">
        <f t="shared" si="0"/>
        <v>3.55</v>
      </c>
    </row>
    <row r="22" spans="1:8" x14ac:dyDescent="0.25">
      <c r="A22" s="6">
        <v>44582</v>
      </c>
      <c r="B22" s="7">
        <v>0.31230324074074073</v>
      </c>
      <c r="C22" s="7">
        <v>0.67002314814814812</v>
      </c>
      <c r="D22" s="8">
        <v>6</v>
      </c>
      <c r="E22" s="8">
        <v>2.33</v>
      </c>
      <c r="F22" s="8">
        <v>0.02</v>
      </c>
      <c r="G22" s="9">
        <v>2.61</v>
      </c>
      <c r="H22">
        <f t="shared" si="0"/>
        <v>4.92</v>
      </c>
    </row>
    <row r="23" spans="1:8" x14ac:dyDescent="0.25">
      <c r="A23" s="10">
        <v>44583</v>
      </c>
      <c r="B23" s="11">
        <v>0.31148148148148147</v>
      </c>
      <c r="C23" s="11">
        <v>0.67121527777777779</v>
      </c>
      <c r="D23" s="12">
        <v>6</v>
      </c>
      <c r="E23" s="12">
        <v>3.21</v>
      </c>
      <c r="F23" s="12">
        <v>0.78</v>
      </c>
      <c r="G23" s="13">
        <v>2.2200000000000002</v>
      </c>
      <c r="H23">
        <f t="shared" si="0"/>
        <v>4.6499999999999995</v>
      </c>
    </row>
    <row r="24" spans="1:8" x14ac:dyDescent="0.25">
      <c r="A24" s="6">
        <v>44584</v>
      </c>
      <c r="B24" s="7">
        <v>0.31063657407407408</v>
      </c>
      <c r="C24" s="7">
        <v>0.67243055555555553</v>
      </c>
      <c r="D24" s="8">
        <v>5</v>
      </c>
      <c r="E24" s="8">
        <v>4.0199999999999996</v>
      </c>
      <c r="F24" s="8">
        <v>2.0099999999999998</v>
      </c>
      <c r="G24" s="9">
        <v>1.01</v>
      </c>
      <c r="H24">
        <f t="shared" si="0"/>
        <v>3.0199999999999996</v>
      </c>
    </row>
    <row r="25" spans="1:8" x14ac:dyDescent="0.25">
      <c r="A25" s="10">
        <v>44585</v>
      </c>
      <c r="B25" s="11">
        <v>0.30975694444444446</v>
      </c>
      <c r="C25" s="11">
        <v>0.67364583333333339</v>
      </c>
      <c r="D25" s="12">
        <v>4</v>
      </c>
      <c r="E25" s="12">
        <v>4.45</v>
      </c>
      <c r="F25" s="12">
        <v>2.34</v>
      </c>
      <c r="G25" s="13">
        <v>1.95</v>
      </c>
      <c r="H25">
        <f t="shared" si="0"/>
        <v>4.0600000000000005</v>
      </c>
    </row>
    <row r="26" spans="1:8" x14ac:dyDescent="0.25">
      <c r="A26" s="6">
        <v>44586</v>
      </c>
      <c r="B26" s="7">
        <v>0.30884259259259261</v>
      </c>
      <c r="C26" s="7">
        <v>0.67487268518518517</v>
      </c>
      <c r="D26" s="8">
        <v>3</v>
      </c>
      <c r="E26" s="8">
        <v>5.52</v>
      </c>
      <c r="F26" s="8">
        <v>2.21</v>
      </c>
      <c r="G26" s="9">
        <v>1.21</v>
      </c>
      <c r="H26">
        <f t="shared" si="0"/>
        <v>4.5199999999999996</v>
      </c>
    </row>
    <row r="27" spans="1:8" x14ac:dyDescent="0.25">
      <c r="A27" s="10">
        <v>44587</v>
      </c>
      <c r="B27" s="11">
        <v>0.30791666666666667</v>
      </c>
      <c r="C27" s="11">
        <v>0.67612268518518515</v>
      </c>
      <c r="D27" s="12">
        <v>2</v>
      </c>
      <c r="E27" s="12">
        <v>5.1100000000000003</v>
      </c>
      <c r="F27" s="12">
        <v>2.02</v>
      </c>
      <c r="G27" s="13">
        <v>1.35</v>
      </c>
      <c r="H27">
        <f t="shared" si="0"/>
        <v>4.4400000000000013</v>
      </c>
    </row>
    <row r="28" spans="1:8" x14ac:dyDescent="0.25">
      <c r="A28" s="6">
        <v>44588</v>
      </c>
      <c r="B28" s="7">
        <v>0.3069560185185185</v>
      </c>
      <c r="C28" s="7">
        <v>0.67737268518518523</v>
      </c>
      <c r="D28" s="8">
        <v>1</v>
      </c>
      <c r="E28" s="8">
        <v>4.97</v>
      </c>
      <c r="F28" s="8">
        <v>1.92</v>
      </c>
      <c r="G28" s="9">
        <v>2.0099999999999998</v>
      </c>
      <c r="H28">
        <f t="shared" si="0"/>
        <v>5.0599999999999996</v>
      </c>
    </row>
    <row r="29" spans="1:8" x14ac:dyDescent="0.25">
      <c r="A29" s="10">
        <v>44589</v>
      </c>
      <c r="B29" s="11">
        <v>0.30596064814814816</v>
      </c>
      <c r="C29" s="11">
        <v>0.6786226851851852</v>
      </c>
      <c r="D29" s="12">
        <v>1</v>
      </c>
      <c r="E29" s="12">
        <v>5.67</v>
      </c>
      <c r="F29" s="12">
        <v>3.21</v>
      </c>
      <c r="G29" s="13">
        <v>1.01</v>
      </c>
      <c r="H29">
        <f t="shared" si="0"/>
        <v>3.4699999999999998</v>
      </c>
    </row>
    <row r="30" spans="1:8" x14ac:dyDescent="0.25">
      <c r="A30" s="6">
        <v>44590</v>
      </c>
      <c r="B30" s="7">
        <v>0.30494212962962963</v>
      </c>
      <c r="C30" s="7">
        <v>0.67988425925925922</v>
      </c>
      <c r="D30" s="8">
        <v>1</v>
      </c>
      <c r="E30" s="8">
        <v>5.76</v>
      </c>
      <c r="F30" s="8">
        <v>3.33</v>
      </c>
      <c r="G30" s="9">
        <v>2.0099999999999998</v>
      </c>
      <c r="H30">
        <f t="shared" si="0"/>
        <v>4.4399999999999995</v>
      </c>
    </row>
    <row r="31" spans="1:8" x14ac:dyDescent="0.25">
      <c r="A31" s="10">
        <v>44591</v>
      </c>
      <c r="B31" s="11">
        <v>0.30391203703703706</v>
      </c>
      <c r="C31" s="11">
        <v>0.68115740740740738</v>
      </c>
      <c r="D31" s="12">
        <v>2</v>
      </c>
      <c r="E31" s="12">
        <v>5.97</v>
      </c>
      <c r="F31" s="12">
        <v>3.48</v>
      </c>
      <c r="G31" s="13">
        <v>1.93</v>
      </c>
      <c r="H31">
        <f t="shared" si="0"/>
        <v>4.42</v>
      </c>
    </row>
    <row r="32" spans="1:8" x14ac:dyDescent="0.25">
      <c r="A32" s="6">
        <v>44592</v>
      </c>
      <c r="B32" s="7">
        <v>0.30284722222222221</v>
      </c>
      <c r="C32" s="7">
        <v>0.68243055555555554</v>
      </c>
      <c r="D32" s="8">
        <v>1</v>
      </c>
      <c r="E32" s="8">
        <v>6.01</v>
      </c>
      <c r="F32" s="8">
        <v>2.34</v>
      </c>
      <c r="G32" s="9">
        <v>0.94</v>
      </c>
      <c r="H32">
        <f t="shared" si="0"/>
        <v>4.6099999999999994</v>
      </c>
    </row>
    <row r="33" spans="1:8" x14ac:dyDescent="0.25">
      <c r="A33" s="10">
        <v>44593</v>
      </c>
      <c r="B33" s="11">
        <v>0.30175925925925928</v>
      </c>
      <c r="C33" s="11">
        <v>0.68371527777777774</v>
      </c>
      <c r="D33" s="12">
        <v>1</v>
      </c>
      <c r="E33" s="12">
        <v>6.18</v>
      </c>
      <c r="F33" s="12">
        <v>1.34</v>
      </c>
      <c r="G33" s="13">
        <v>1.28</v>
      </c>
      <c r="H33">
        <f t="shared" si="0"/>
        <v>6.12</v>
      </c>
    </row>
    <row r="34" spans="1:8" x14ac:dyDescent="0.25">
      <c r="A34" s="6">
        <v>44594</v>
      </c>
      <c r="B34" s="7">
        <v>0.30064814814814816</v>
      </c>
      <c r="C34" s="7">
        <v>0.68500000000000005</v>
      </c>
      <c r="D34" s="8">
        <v>1</v>
      </c>
      <c r="E34" s="8">
        <v>7.25</v>
      </c>
      <c r="F34" s="8">
        <v>1.57</v>
      </c>
      <c r="G34" s="9">
        <v>1.01</v>
      </c>
      <c r="H34">
        <f t="shared" si="0"/>
        <v>6.6899999999999995</v>
      </c>
    </row>
    <row r="35" spans="1:8" x14ac:dyDescent="0.25">
      <c r="A35" s="10">
        <v>44595</v>
      </c>
      <c r="B35" s="11">
        <v>0.29951388888888891</v>
      </c>
      <c r="C35" s="11">
        <v>0.68629629629629629</v>
      </c>
      <c r="D35" s="12">
        <v>4</v>
      </c>
      <c r="E35" s="12">
        <v>3.63</v>
      </c>
      <c r="F35" s="12">
        <v>1.21</v>
      </c>
      <c r="G35" s="13">
        <v>2.25</v>
      </c>
      <c r="H35">
        <f t="shared" si="0"/>
        <v>4.67</v>
      </c>
    </row>
    <row r="36" spans="1:8" x14ac:dyDescent="0.25">
      <c r="A36" s="6">
        <v>44596</v>
      </c>
      <c r="B36" s="7">
        <v>0.29835648148148147</v>
      </c>
      <c r="C36" s="7">
        <v>0.68758101851851849</v>
      </c>
      <c r="D36" s="8">
        <v>1</v>
      </c>
      <c r="E36" s="8">
        <v>7.8</v>
      </c>
      <c r="F36" s="8">
        <v>3.34</v>
      </c>
      <c r="G36" s="9">
        <v>2.94</v>
      </c>
      <c r="H36">
        <f t="shared" si="0"/>
        <v>7.4</v>
      </c>
    </row>
    <row r="37" spans="1:8" x14ac:dyDescent="0.25">
      <c r="A37" s="10">
        <v>44597</v>
      </c>
      <c r="B37" s="11">
        <v>0.2971759259259259</v>
      </c>
      <c r="C37" s="11">
        <v>0.68887731481481485</v>
      </c>
      <c r="D37" s="12">
        <v>2</v>
      </c>
      <c r="E37" s="12">
        <v>5.0199999999999996</v>
      </c>
      <c r="F37" s="12">
        <v>2.13</v>
      </c>
      <c r="G37" s="13">
        <v>3.1</v>
      </c>
      <c r="H37">
        <f t="shared" si="0"/>
        <v>5.9899999999999993</v>
      </c>
    </row>
    <row r="38" spans="1:8" x14ac:dyDescent="0.25">
      <c r="A38" s="6">
        <v>44598</v>
      </c>
      <c r="B38" s="7">
        <v>0.29597222222222225</v>
      </c>
      <c r="C38" s="7">
        <v>0.69017361111111108</v>
      </c>
      <c r="D38" s="8">
        <v>1</v>
      </c>
      <c r="E38" s="8">
        <v>6.87</v>
      </c>
      <c r="F38" s="8">
        <v>2.89</v>
      </c>
      <c r="G38" s="9">
        <v>3.34</v>
      </c>
      <c r="H38">
        <f t="shared" si="0"/>
        <v>7.32</v>
      </c>
    </row>
    <row r="39" spans="1:8" x14ac:dyDescent="0.25">
      <c r="A39" s="10">
        <v>44599</v>
      </c>
      <c r="B39" s="11">
        <v>0.29475694444444445</v>
      </c>
      <c r="C39" s="11">
        <v>0.69148148148148147</v>
      </c>
      <c r="D39" s="12">
        <v>1</v>
      </c>
      <c r="E39" s="12">
        <v>7.59</v>
      </c>
      <c r="F39" s="12">
        <v>2.56</v>
      </c>
      <c r="G39" s="13">
        <v>2.78</v>
      </c>
      <c r="H39">
        <f t="shared" si="0"/>
        <v>7.8099999999999987</v>
      </c>
    </row>
    <row r="40" spans="1:8" x14ac:dyDescent="0.25">
      <c r="A40" s="6">
        <v>44600</v>
      </c>
      <c r="B40" s="7">
        <v>0.29351851851851851</v>
      </c>
      <c r="C40" s="7">
        <v>0.69277777777777783</v>
      </c>
      <c r="D40" s="8">
        <v>1</v>
      </c>
      <c r="E40" s="8">
        <v>7.84</v>
      </c>
      <c r="F40" s="8">
        <v>2.63</v>
      </c>
      <c r="G40" s="9">
        <v>2.19</v>
      </c>
      <c r="H40">
        <f t="shared" si="0"/>
        <v>7.3999999999999995</v>
      </c>
    </row>
    <row r="41" spans="1:8" x14ac:dyDescent="0.25">
      <c r="A41" s="10">
        <v>44601</v>
      </c>
      <c r="B41" s="11">
        <v>0.29226851851851854</v>
      </c>
      <c r="C41" s="11">
        <v>0.6940856481481481</v>
      </c>
      <c r="D41" s="12">
        <v>6</v>
      </c>
      <c r="E41" s="12">
        <v>2.93</v>
      </c>
      <c r="F41" s="12">
        <v>1.1299999999999999</v>
      </c>
      <c r="G41" s="13">
        <v>3.1</v>
      </c>
      <c r="H41">
        <f t="shared" si="0"/>
        <v>4.9000000000000004</v>
      </c>
    </row>
    <row r="42" spans="1:8" x14ac:dyDescent="0.25">
      <c r="A42" s="6">
        <v>44602</v>
      </c>
      <c r="B42" s="7">
        <v>0.29098379629629628</v>
      </c>
      <c r="C42" s="7">
        <v>0.69538194444444446</v>
      </c>
      <c r="D42" s="8">
        <v>7</v>
      </c>
      <c r="E42" s="8">
        <v>1.24</v>
      </c>
      <c r="F42" s="8">
        <v>0.3</v>
      </c>
      <c r="G42" s="9">
        <v>2.14</v>
      </c>
      <c r="H42">
        <f t="shared" si="0"/>
        <v>3.08</v>
      </c>
    </row>
    <row r="43" spans="1:8" x14ac:dyDescent="0.25">
      <c r="A43" s="10">
        <v>44603</v>
      </c>
      <c r="B43" s="11">
        <v>0.28969907407407408</v>
      </c>
      <c r="C43" s="11">
        <v>0.69668981481481485</v>
      </c>
      <c r="D43" s="12">
        <v>8</v>
      </c>
      <c r="E43" s="12">
        <v>0.26</v>
      </c>
      <c r="F43" s="12">
        <v>0</v>
      </c>
      <c r="G43" s="13">
        <v>4.8600000000000003</v>
      </c>
      <c r="H43">
        <f t="shared" si="0"/>
        <v>5.12</v>
      </c>
    </row>
    <row r="44" spans="1:8" x14ac:dyDescent="0.25">
      <c r="A44" s="6">
        <v>44604</v>
      </c>
      <c r="B44" s="7">
        <v>0.28837962962962965</v>
      </c>
      <c r="C44" s="7">
        <v>0.69798611111111108</v>
      </c>
      <c r="D44" s="8">
        <v>2</v>
      </c>
      <c r="E44" s="8">
        <v>5.79</v>
      </c>
      <c r="F44" s="8">
        <v>1.7</v>
      </c>
      <c r="G44" s="9">
        <v>0.8</v>
      </c>
      <c r="H44">
        <f t="shared" si="0"/>
        <v>4.8899999999999997</v>
      </c>
    </row>
    <row r="45" spans="1:8" x14ac:dyDescent="0.25">
      <c r="A45" s="10">
        <v>44605</v>
      </c>
      <c r="B45" s="11">
        <v>0.28706018518518517</v>
      </c>
      <c r="C45" s="11">
        <v>0.69928240740740744</v>
      </c>
      <c r="D45" s="12">
        <v>3</v>
      </c>
      <c r="E45" s="12">
        <v>5.26</v>
      </c>
      <c r="F45" s="12">
        <v>1.42</v>
      </c>
      <c r="G45" s="13">
        <v>2.34</v>
      </c>
      <c r="H45">
        <f t="shared" si="0"/>
        <v>6.18</v>
      </c>
    </row>
    <row r="46" spans="1:8" x14ac:dyDescent="0.25">
      <c r="A46" s="6">
        <v>44606</v>
      </c>
      <c r="B46" s="7">
        <v>0.28570601851851851</v>
      </c>
      <c r="C46" s="7">
        <v>0.70059027777777783</v>
      </c>
      <c r="D46" s="8">
        <v>2</v>
      </c>
      <c r="E46" s="8">
        <v>5.62</v>
      </c>
      <c r="F46" s="8">
        <v>2.41</v>
      </c>
      <c r="G46" s="9">
        <v>2.59</v>
      </c>
      <c r="H46">
        <f t="shared" si="0"/>
        <v>5.8000000000000007</v>
      </c>
    </row>
    <row r="47" spans="1:8" x14ac:dyDescent="0.25">
      <c r="A47" s="10">
        <v>44607</v>
      </c>
      <c r="B47" s="11">
        <v>0.28435185185185186</v>
      </c>
      <c r="C47" s="11">
        <v>0.70188657407407407</v>
      </c>
      <c r="D47" s="12">
        <v>4</v>
      </c>
      <c r="E47" s="12">
        <v>3.58</v>
      </c>
      <c r="F47" s="12">
        <v>1.63</v>
      </c>
      <c r="G47" s="13">
        <v>3.21</v>
      </c>
      <c r="H47">
        <f t="shared" si="0"/>
        <v>5.16</v>
      </c>
    </row>
    <row r="48" spans="1:8" x14ac:dyDescent="0.25">
      <c r="A48" s="6">
        <v>44608</v>
      </c>
      <c r="B48" s="7">
        <v>0.28297453703703701</v>
      </c>
      <c r="C48" s="7">
        <v>0.70318287037037042</v>
      </c>
      <c r="D48" s="8">
        <v>7</v>
      </c>
      <c r="E48" s="8">
        <v>1.1599999999999999</v>
      </c>
      <c r="F48" s="8">
        <v>0.25</v>
      </c>
      <c r="G48" s="9">
        <v>2.1</v>
      </c>
      <c r="H48">
        <f t="shared" si="0"/>
        <v>3.01</v>
      </c>
    </row>
    <row r="49" spans="1:8" x14ac:dyDescent="0.25">
      <c r="A49" s="10">
        <v>44609</v>
      </c>
      <c r="B49" s="11">
        <v>0.28158564814814813</v>
      </c>
      <c r="C49" s="11">
        <v>0.70447916666666666</v>
      </c>
      <c r="D49" s="12">
        <v>1</v>
      </c>
      <c r="E49" s="12">
        <v>8.59</v>
      </c>
      <c r="F49" s="12">
        <v>3.68</v>
      </c>
      <c r="G49" s="13">
        <v>2.36</v>
      </c>
      <c r="H49">
        <f t="shared" si="0"/>
        <v>7.27</v>
      </c>
    </row>
    <row r="50" spans="1:8" x14ac:dyDescent="0.25">
      <c r="A50" s="6">
        <v>44610</v>
      </c>
      <c r="B50" s="7">
        <v>0.2801851851851852</v>
      </c>
      <c r="C50" s="7">
        <v>0.70576388888888886</v>
      </c>
      <c r="D50" s="8">
        <v>3</v>
      </c>
      <c r="E50" s="8">
        <v>4.24</v>
      </c>
      <c r="F50" s="8">
        <v>1.27</v>
      </c>
      <c r="G50" s="9">
        <v>3.09</v>
      </c>
      <c r="H50">
        <f t="shared" si="0"/>
        <v>6.0600000000000005</v>
      </c>
    </row>
    <row r="51" spans="1:8" x14ac:dyDescent="0.25">
      <c r="A51" s="10">
        <v>44611</v>
      </c>
      <c r="B51" s="11">
        <v>0.27877314814814813</v>
      </c>
      <c r="C51" s="11">
        <v>0.70706018518518521</v>
      </c>
      <c r="D51" s="12">
        <v>6</v>
      </c>
      <c r="E51" s="12">
        <v>2.1800000000000002</v>
      </c>
      <c r="F51" s="12">
        <v>0.9</v>
      </c>
      <c r="G51" s="13">
        <v>3.17</v>
      </c>
      <c r="H51">
        <f t="shared" si="0"/>
        <v>4.4499999999999993</v>
      </c>
    </row>
    <row r="52" spans="1:8" x14ac:dyDescent="0.25">
      <c r="A52" s="6">
        <v>44612</v>
      </c>
      <c r="B52" s="7">
        <v>0.27733796296296298</v>
      </c>
      <c r="C52" s="7">
        <v>0.70834490740740741</v>
      </c>
      <c r="D52" s="8">
        <v>0</v>
      </c>
      <c r="E52" s="8">
        <v>9.14</v>
      </c>
      <c r="F52" s="8">
        <v>2.74</v>
      </c>
      <c r="G52" s="9">
        <v>1.96</v>
      </c>
      <c r="H52">
        <f t="shared" si="0"/>
        <v>8.3600000000000012</v>
      </c>
    </row>
    <row r="53" spans="1:8" x14ac:dyDescent="0.25">
      <c r="A53" s="10">
        <v>44613</v>
      </c>
      <c r="B53" s="11">
        <v>0.27590277777777777</v>
      </c>
      <c r="C53" s="11">
        <v>0.70962962962962961</v>
      </c>
      <c r="D53" s="12">
        <v>0</v>
      </c>
      <c r="E53" s="12">
        <v>9.85</v>
      </c>
      <c r="F53" s="12">
        <v>3.02</v>
      </c>
      <c r="G53" s="13">
        <v>2.46</v>
      </c>
      <c r="H53">
        <f t="shared" si="0"/>
        <v>9.2899999999999991</v>
      </c>
    </row>
    <row r="54" spans="1:8" x14ac:dyDescent="0.25">
      <c r="A54" s="6">
        <v>44614</v>
      </c>
      <c r="B54" s="7">
        <v>0.27444444444444444</v>
      </c>
      <c r="C54" s="7">
        <v>0.71091435185185181</v>
      </c>
      <c r="D54" s="8">
        <v>1</v>
      </c>
      <c r="E54" s="8">
        <v>9.2899999999999991</v>
      </c>
      <c r="F54" s="8">
        <v>2.79</v>
      </c>
      <c r="G54" s="9">
        <v>1.49</v>
      </c>
      <c r="H54">
        <f t="shared" si="0"/>
        <v>7.9899999999999993</v>
      </c>
    </row>
    <row r="55" spans="1:8" x14ac:dyDescent="0.25">
      <c r="A55" s="10">
        <v>44615</v>
      </c>
      <c r="B55" s="11">
        <v>0.27297453703703706</v>
      </c>
      <c r="C55" s="11">
        <v>0.71219907407407412</v>
      </c>
      <c r="D55" s="12">
        <v>4</v>
      </c>
      <c r="E55" s="12">
        <v>2.57</v>
      </c>
      <c r="F55" s="12">
        <v>0.76</v>
      </c>
      <c r="G55" s="13">
        <v>4.03</v>
      </c>
      <c r="H55">
        <f t="shared" si="0"/>
        <v>5.84</v>
      </c>
    </row>
    <row r="56" spans="1:8" x14ac:dyDescent="0.25">
      <c r="A56" s="6">
        <v>44616</v>
      </c>
      <c r="B56" s="7">
        <v>0.27150462962962962</v>
      </c>
      <c r="C56" s="7">
        <v>0.71347222222222217</v>
      </c>
      <c r="D56" s="8">
        <v>0</v>
      </c>
      <c r="E56" s="8">
        <v>9.64</v>
      </c>
      <c r="F56" s="8">
        <v>3.82</v>
      </c>
      <c r="G56" s="9">
        <v>2.36</v>
      </c>
      <c r="H56">
        <f t="shared" si="0"/>
        <v>8.18</v>
      </c>
    </row>
    <row r="57" spans="1:8" x14ac:dyDescent="0.25">
      <c r="A57" s="10">
        <v>44617</v>
      </c>
      <c r="B57" s="11">
        <v>0.27001157407407406</v>
      </c>
      <c r="C57" s="11">
        <v>0.71474537037037034</v>
      </c>
      <c r="D57" s="12">
        <v>0</v>
      </c>
      <c r="E57" s="12">
        <v>9.35</v>
      </c>
      <c r="F57" s="12">
        <v>3.73</v>
      </c>
      <c r="G57" s="13">
        <v>2.1800000000000002</v>
      </c>
      <c r="H57">
        <f t="shared" si="0"/>
        <v>7.7999999999999989</v>
      </c>
    </row>
    <row r="58" spans="1:8" x14ac:dyDescent="0.25">
      <c r="A58" s="6">
        <v>44618</v>
      </c>
      <c r="B58" s="7">
        <v>0.26851851851851855</v>
      </c>
      <c r="C58" s="7">
        <v>0.7160185185185185</v>
      </c>
      <c r="D58" s="8">
        <v>0</v>
      </c>
      <c r="E58" s="8">
        <v>8.76</v>
      </c>
      <c r="F58" s="8">
        <v>3.92</v>
      </c>
      <c r="G58" s="9">
        <v>2.4</v>
      </c>
      <c r="H58">
        <f t="shared" si="0"/>
        <v>7.24</v>
      </c>
    </row>
    <row r="59" spans="1:8" x14ac:dyDescent="0.25">
      <c r="A59" s="10">
        <v>44619</v>
      </c>
      <c r="B59" s="11">
        <v>0.26700231481481479</v>
      </c>
      <c r="C59" s="11">
        <v>0.71728009259259262</v>
      </c>
      <c r="D59" s="12">
        <v>0</v>
      </c>
      <c r="E59" s="12">
        <v>9.77</v>
      </c>
      <c r="F59" s="12">
        <v>3.26</v>
      </c>
      <c r="G59" s="13">
        <v>1.3</v>
      </c>
      <c r="H59">
        <f t="shared" si="0"/>
        <v>7.8100000000000005</v>
      </c>
    </row>
    <row r="60" spans="1:8" x14ac:dyDescent="0.25">
      <c r="A60" s="6">
        <v>44620</v>
      </c>
      <c r="B60" s="7">
        <v>0.26548611111111109</v>
      </c>
      <c r="C60" s="7">
        <v>0.71855324074074078</v>
      </c>
      <c r="D60" s="8">
        <v>5</v>
      </c>
      <c r="E60" s="8">
        <v>2.93</v>
      </c>
      <c r="F60" s="8">
        <v>1.03</v>
      </c>
      <c r="G60" s="9">
        <v>2.99</v>
      </c>
      <c r="H60">
        <f t="shared" si="0"/>
        <v>4.8899999999999997</v>
      </c>
    </row>
    <row r="61" spans="1:8" x14ac:dyDescent="0.25">
      <c r="A61" s="10">
        <v>44621</v>
      </c>
      <c r="B61" s="11">
        <v>0.26396990740740739</v>
      </c>
      <c r="C61" s="11">
        <v>0.7198148148148148</v>
      </c>
      <c r="D61" s="12">
        <v>2</v>
      </c>
      <c r="E61" s="12">
        <v>4.66</v>
      </c>
      <c r="F61" s="12">
        <v>1.37</v>
      </c>
      <c r="G61" s="13">
        <v>2.0499999999999998</v>
      </c>
      <c r="H61">
        <f t="shared" si="0"/>
        <v>5.34</v>
      </c>
    </row>
    <row r="62" spans="1:8" x14ac:dyDescent="0.25">
      <c r="A62" s="6">
        <v>44622</v>
      </c>
      <c r="B62" s="7">
        <v>0.26243055555555556</v>
      </c>
      <c r="C62" s="7">
        <v>0.72106481481481477</v>
      </c>
      <c r="D62" s="8">
        <v>6</v>
      </c>
      <c r="E62" s="8">
        <v>2.99</v>
      </c>
      <c r="F62" s="8">
        <v>0.74</v>
      </c>
      <c r="G62" s="9">
        <v>1.48</v>
      </c>
      <c r="H62">
        <f t="shared" si="0"/>
        <v>3.7300000000000004</v>
      </c>
    </row>
    <row r="63" spans="1:8" x14ac:dyDescent="0.25">
      <c r="A63" s="10">
        <v>44623</v>
      </c>
      <c r="B63" s="11">
        <v>0.26089120370370372</v>
      </c>
      <c r="C63" s="11">
        <v>0.72232638888888889</v>
      </c>
      <c r="D63" s="12">
        <v>7</v>
      </c>
      <c r="E63" s="12">
        <v>1.1399999999999999</v>
      </c>
      <c r="F63" s="12">
        <v>0.22</v>
      </c>
      <c r="G63" s="13">
        <v>3.27</v>
      </c>
      <c r="H63">
        <f t="shared" si="0"/>
        <v>4.1900000000000004</v>
      </c>
    </row>
    <row r="64" spans="1:8" x14ac:dyDescent="0.25">
      <c r="A64" s="6">
        <v>44624</v>
      </c>
      <c r="B64" s="7">
        <v>0.25934027777777779</v>
      </c>
      <c r="C64" s="7">
        <v>0.72357638888888887</v>
      </c>
      <c r="D64" s="8">
        <v>0</v>
      </c>
      <c r="E64" s="8">
        <v>9.7100000000000009</v>
      </c>
      <c r="F64" s="8">
        <v>3.95</v>
      </c>
      <c r="G64" s="9">
        <v>1.96</v>
      </c>
      <c r="H64">
        <f t="shared" si="0"/>
        <v>7.7200000000000015</v>
      </c>
    </row>
    <row r="65" spans="1:8" x14ac:dyDescent="0.25">
      <c r="A65" s="10">
        <v>44625</v>
      </c>
      <c r="B65" s="11">
        <v>0.25777777777777777</v>
      </c>
      <c r="C65" s="11">
        <v>0.72482638888888884</v>
      </c>
      <c r="D65" s="12">
        <v>0</v>
      </c>
      <c r="E65" s="12">
        <v>9.92</v>
      </c>
      <c r="F65" s="12">
        <v>3.01</v>
      </c>
      <c r="G65" s="13">
        <v>1.52</v>
      </c>
      <c r="H65">
        <f t="shared" si="0"/>
        <v>8.43</v>
      </c>
    </row>
    <row r="66" spans="1:8" x14ac:dyDescent="0.25">
      <c r="A66" s="6">
        <v>44626</v>
      </c>
      <c r="B66" s="7">
        <v>0.25621527777777775</v>
      </c>
      <c r="C66" s="7">
        <v>0.72607638888888892</v>
      </c>
      <c r="D66" s="8">
        <v>1</v>
      </c>
      <c r="E66" s="8">
        <v>9.66</v>
      </c>
      <c r="F66" s="8">
        <v>2.79</v>
      </c>
      <c r="G66" s="9">
        <v>1.24</v>
      </c>
      <c r="H66">
        <f t="shared" si="0"/>
        <v>8.11</v>
      </c>
    </row>
    <row r="67" spans="1:8" x14ac:dyDescent="0.25">
      <c r="A67" s="10">
        <v>44627</v>
      </c>
      <c r="B67" s="11">
        <v>0.25464120370370369</v>
      </c>
      <c r="C67" s="11">
        <v>0.72731481481481486</v>
      </c>
      <c r="D67" s="12">
        <v>4</v>
      </c>
      <c r="E67" s="12">
        <v>3.6</v>
      </c>
      <c r="F67" s="12">
        <v>1.68</v>
      </c>
      <c r="G67" s="13">
        <v>2.75</v>
      </c>
      <c r="H67">
        <f t="shared" ref="H67:H130" si="1">G67+E67-F67</f>
        <v>4.67</v>
      </c>
    </row>
    <row r="68" spans="1:8" x14ac:dyDescent="0.25">
      <c r="A68" s="6">
        <v>44628</v>
      </c>
      <c r="B68" s="7">
        <v>0.25306712962962963</v>
      </c>
      <c r="C68" s="7">
        <v>0.72855324074074079</v>
      </c>
      <c r="D68" s="8">
        <v>2</v>
      </c>
      <c r="E68" s="8">
        <v>4.9000000000000004</v>
      </c>
      <c r="F68" s="8">
        <v>2.5299999999999998</v>
      </c>
      <c r="G68" s="9">
        <v>2.46</v>
      </c>
      <c r="H68">
        <f t="shared" si="1"/>
        <v>4.83</v>
      </c>
    </row>
    <row r="69" spans="1:8" x14ac:dyDescent="0.25">
      <c r="A69" s="10">
        <v>44629</v>
      </c>
      <c r="B69" s="11">
        <v>0.25148148148148147</v>
      </c>
      <c r="C69" s="11">
        <v>0.72979166666666662</v>
      </c>
      <c r="D69" s="12">
        <v>3</v>
      </c>
      <c r="E69" s="12">
        <v>3.29</v>
      </c>
      <c r="F69" s="12">
        <v>0.73</v>
      </c>
      <c r="G69" s="13">
        <v>2.4300000000000002</v>
      </c>
      <c r="H69">
        <f t="shared" si="1"/>
        <v>4.99</v>
      </c>
    </row>
    <row r="70" spans="1:8" x14ac:dyDescent="0.25">
      <c r="A70" s="6">
        <v>44630</v>
      </c>
      <c r="B70" s="7">
        <v>0.24989583333333334</v>
      </c>
      <c r="C70" s="7">
        <v>0.73103009259259255</v>
      </c>
      <c r="D70" s="8">
        <v>1</v>
      </c>
      <c r="E70" s="8">
        <v>7.92</v>
      </c>
      <c r="F70" s="8">
        <v>1.58</v>
      </c>
      <c r="G70" s="9">
        <v>1.63</v>
      </c>
      <c r="H70">
        <f t="shared" si="1"/>
        <v>7.9700000000000006</v>
      </c>
    </row>
    <row r="71" spans="1:8" x14ac:dyDescent="0.25">
      <c r="A71" s="10">
        <v>44631</v>
      </c>
      <c r="B71" s="11">
        <v>0.24831018518518519</v>
      </c>
      <c r="C71" s="11">
        <v>0.73225694444444445</v>
      </c>
      <c r="D71" s="12">
        <v>4</v>
      </c>
      <c r="E71" s="12">
        <v>2.99</v>
      </c>
      <c r="F71" s="12">
        <v>1.05</v>
      </c>
      <c r="G71" s="13">
        <v>2.89</v>
      </c>
      <c r="H71">
        <f t="shared" si="1"/>
        <v>4.830000000000001</v>
      </c>
    </row>
    <row r="72" spans="1:8" x14ac:dyDescent="0.25">
      <c r="A72" s="6">
        <v>44632</v>
      </c>
      <c r="B72" s="7">
        <v>0.2467013888888889</v>
      </c>
      <c r="C72" s="7">
        <v>0.73348379629629634</v>
      </c>
      <c r="D72" s="8">
        <v>0</v>
      </c>
      <c r="E72" s="8">
        <v>11.09</v>
      </c>
      <c r="F72" s="8">
        <v>3.46</v>
      </c>
      <c r="G72" s="9">
        <v>1.28</v>
      </c>
      <c r="H72">
        <f t="shared" si="1"/>
        <v>8.91</v>
      </c>
    </row>
    <row r="73" spans="1:8" x14ac:dyDescent="0.25">
      <c r="A73" s="10">
        <v>44633</v>
      </c>
      <c r="B73" s="11">
        <v>0.24510416666666668</v>
      </c>
      <c r="C73" s="11">
        <v>0.73471064814814813</v>
      </c>
      <c r="D73" s="12">
        <v>0</v>
      </c>
      <c r="E73" s="12">
        <v>12.5</v>
      </c>
      <c r="F73" s="12">
        <v>3.14</v>
      </c>
      <c r="G73" s="13">
        <v>1.24</v>
      </c>
      <c r="H73">
        <f t="shared" si="1"/>
        <v>10.6</v>
      </c>
    </row>
    <row r="74" spans="1:8" x14ac:dyDescent="0.25">
      <c r="A74" s="6">
        <v>44634</v>
      </c>
      <c r="B74" s="7">
        <v>0.24349537037037036</v>
      </c>
      <c r="C74" s="7">
        <v>0.73593750000000002</v>
      </c>
      <c r="D74" s="8">
        <v>2</v>
      </c>
      <c r="E74" s="8">
        <v>5.32</v>
      </c>
      <c r="F74" s="8">
        <v>2.64</v>
      </c>
      <c r="G74" s="9">
        <v>3.06</v>
      </c>
      <c r="H74">
        <f t="shared" si="1"/>
        <v>5.74</v>
      </c>
    </row>
    <row r="75" spans="1:8" x14ac:dyDescent="0.25">
      <c r="A75" s="10">
        <v>44635</v>
      </c>
      <c r="B75" s="11">
        <v>0.24188657407407407</v>
      </c>
      <c r="C75" s="11">
        <v>0.73716435185185181</v>
      </c>
      <c r="D75" s="12">
        <v>6</v>
      </c>
      <c r="E75" s="12">
        <v>3.14</v>
      </c>
      <c r="F75" s="12">
        <v>1.73</v>
      </c>
      <c r="G75" s="13">
        <v>3.82</v>
      </c>
      <c r="H75">
        <f t="shared" si="1"/>
        <v>5.23</v>
      </c>
    </row>
    <row r="76" spans="1:8" x14ac:dyDescent="0.25">
      <c r="A76" s="6">
        <v>44636</v>
      </c>
      <c r="B76" s="7">
        <v>0.24027777777777778</v>
      </c>
      <c r="C76" s="7">
        <v>0.73837962962962966</v>
      </c>
      <c r="D76" s="8">
        <v>0</v>
      </c>
      <c r="E76" s="8">
        <v>12.41</v>
      </c>
      <c r="F76" s="8">
        <v>3.85</v>
      </c>
      <c r="G76" s="9">
        <v>0.67</v>
      </c>
      <c r="H76">
        <f t="shared" si="1"/>
        <v>9.23</v>
      </c>
    </row>
    <row r="77" spans="1:8" x14ac:dyDescent="0.25">
      <c r="A77" s="10">
        <v>44637</v>
      </c>
      <c r="B77" s="11">
        <v>0.23866898148148147</v>
      </c>
      <c r="C77" s="11">
        <v>0.73959490740740741</v>
      </c>
      <c r="D77" s="12">
        <v>4</v>
      </c>
      <c r="E77" s="12">
        <v>3.11</v>
      </c>
      <c r="F77" s="12">
        <v>2.14</v>
      </c>
      <c r="G77" s="13">
        <v>4.2</v>
      </c>
      <c r="H77">
        <f t="shared" si="1"/>
        <v>5.17</v>
      </c>
    </row>
    <row r="78" spans="1:8" x14ac:dyDescent="0.25">
      <c r="A78" s="6">
        <v>44638</v>
      </c>
      <c r="B78" s="7">
        <v>0.23704861111111111</v>
      </c>
      <c r="C78" s="7">
        <v>0.74081018518518515</v>
      </c>
      <c r="D78" s="8">
        <v>0</v>
      </c>
      <c r="E78" s="8">
        <v>11.14</v>
      </c>
      <c r="F78" s="8">
        <v>3.57</v>
      </c>
      <c r="G78" s="9">
        <v>1.4</v>
      </c>
      <c r="H78">
        <f t="shared" si="1"/>
        <v>8.9700000000000006</v>
      </c>
    </row>
    <row r="79" spans="1:8" x14ac:dyDescent="0.25">
      <c r="A79" s="10">
        <v>44639</v>
      </c>
      <c r="B79" s="11">
        <v>0.23542824074074073</v>
      </c>
      <c r="C79" s="11">
        <v>0.74202546296296301</v>
      </c>
      <c r="D79" s="12">
        <v>0</v>
      </c>
      <c r="E79" s="12">
        <v>14.64</v>
      </c>
      <c r="F79" s="12">
        <v>3.79</v>
      </c>
      <c r="G79" s="13">
        <v>0.42</v>
      </c>
      <c r="H79">
        <f t="shared" si="1"/>
        <v>11.27</v>
      </c>
    </row>
    <row r="80" spans="1:8" x14ac:dyDescent="0.25">
      <c r="A80" s="6">
        <v>44640</v>
      </c>
      <c r="B80" s="7">
        <v>0.23380787037037037</v>
      </c>
      <c r="C80" s="7">
        <v>0.74324074074074076</v>
      </c>
      <c r="D80" s="8">
        <v>0</v>
      </c>
      <c r="E80" s="8">
        <v>12.39</v>
      </c>
      <c r="F80" s="8">
        <v>3.87</v>
      </c>
      <c r="G80" s="9">
        <v>1.02</v>
      </c>
      <c r="H80">
        <f t="shared" si="1"/>
        <v>9.5399999999999991</v>
      </c>
    </row>
    <row r="81" spans="1:8" x14ac:dyDescent="0.25">
      <c r="A81" s="10">
        <v>44641</v>
      </c>
      <c r="B81" s="11">
        <v>0.23218749999999999</v>
      </c>
      <c r="C81" s="11">
        <v>0.74444444444444446</v>
      </c>
      <c r="D81" s="12">
        <v>3</v>
      </c>
      <c r="E81" s="12">
        <v>3.56</v>
      </c>
      <c r="F81" s="12">
        <v>1.4</v>
      </c>
      <c r="G81" s="13">
        <v>3.29</v>
      </c>
      <c r="H81">
        <f t="shared" si="1"/>
        <v>5.4499999999999993</v>
      </c>
    </row>
    <row r="82" spans="1:8" x14ac:dyDescent="0.25">
      <c r="A82" s="6">
        <v>44642</v>
      </c>
      <c r="B82" s="7">
        <v>0.23056712962962964</v>
      </c>
      <c r="C82" s="7">
        <v>0.74565972222222221</v>
      </c>
      <c r="D82" s="8">
        <v>5</v>
      </c>
      <c r="E82" s="8">
        <v>3.59</v>
      </c>
      <c r="F82" s="8">
        <v>2.0099999999999998</v>
      </c>
      <c r="G82" s="9">
        <v>3.66</v>
      </c>
      <c r="H82">
        <f t="shared" si="1"/>
        <v>5.24</v>
      </c>
    </row>
    <row r="83" spans="1:8" x14ac:dyDescent="0.25">
      <c r="A83" s="10">
        <v>44643</v>
      </c>
      <c r="B83" s="11">
        <v>0.22893518518518519</v>
      </c>
      <c r="C83" s="11">
        <v>0.74686342592592592</v>
      </c>
      <c r="D83" s="12">
        <v>0</v>
      </c>
      <c r="E83" s="12">
        <v>12.04</v>
      </c>
      <c r="F83" s="12">
        <v>3.72</v>
      </c>
      <c r="G83" s="13">
        <v>1.59</v>
      </c>
      <c r="H83">
        <f t="shared" si="1"/>
        <v>9.9099999999999984</v>
      </c>
    </row>
    <row r="84" spans="1:8" x14ac:dyDescent="0.25">
      <c r="A84" s="6">
        <v>44644</v>
      </c>
      <c r="B84" s="7">
        <v>0.2273148148148148</v>
      </c>
      <c r="C84" s="7">
        <v>0.74806712962962962</v>
      </c>
      <c r="D84" s="8">
        <v>0</v>
      </c>
      <c r="E84" s="8">
        <v>12.54</v>
      </c>
      <c r="F84" s="8">
        <v>3.69</v>
      </c>
      <c r="G84" s="9">
        <v>1.05</v>
      </c>
      <c r="H84">
        <f t="shared" si="1"/>
        <v>9.9</v>
      </c>
    </row>
    <row r="85" spans="1:8" x14ac:dyDescent="0.25">
      <c r="A85" s="10">
        <v>44645</v>
      </c>
      <c r="B85" s="11">
        <v>0.22569444444444445</v>
      </c>
      <c r="C85" s="11">
        <v>0.74928240740740737</v>
      </c>
      <c r="D85" s="12">
        <v>3</v>
      </c>
      <c r="E85" s="12">
        <v>3.96</v>
      </c>
      <c r="F85" s="12">
        <v>2.59</v>
      </c>
      <c r="G85" s="13">
        <v>3.5</v>
      </c>
      <c r="H85">
        <f t="shared" si="1"/>
        <v>4.87</v>
      </c>
    </row>
    <row r="86" spans="1:8" x14ac:dyDescent="0.25">
      <c r="A86" s="6">
        <v>44646</v>
      </c>
      <c r="B86" s="7">
        <v>0.2240625</v>
      </c>
      <c r="C86" s="7">
        <v>0.75048611111111108</v>
      </c>
      <c r="D86" s="8">
        <v>0</v>
      </c>
      <c r="E86" s="8">
        <v>12.15</v>
      </c>
      <c r="F86" s="8">
        <v>3.61</v>
      </c>
      <c r="G86" s="9">
        <v>0.86</v>
      </c>
      <c r="H86">
        <f t="shared" si="1"/>
        <v>9.4</v>
      </c>
    </row>
    <row r="87" spans="1:8" x14ac:dyDescent="0.25">
      <c r="A87" s="10">
        <v>44647</v>
      </c>
      <c r="B87" s="11">
        <v>0.2641087962962963</v>
      </c>
      <c r="C87" s="11">
        <v>0.79335648148148152</v>
      </c>
      <c r="D87" s="12">
        <v>0</v>
      </c>
      <c r="E87" s="12">
        <v>10.83</v>
      </c>
      <c r="F87" s="12">
        <v>3.78</v>
      </c>
      <c r="G87" s="13">
        <v>2.4700000000000002</v>
      </c>
      <c r="H87">
        <f t="shared" si="1"/>
        <v>9.5200000000000014</v>
      </c>
    </row>
    <row r="88" spans="1:8" x14ac:dyDescent="0.25">
      <c r="A88" s="6">
        <v>44648</v>
      </c>
      <c r="B88" s="7">
        <v>0.26248842592592592</v>
      </c>
      <c r="C88" s="7">
        <v>0.79456018518518523</v>
      </c>
      <c r="D88" s="8">
        <v>4</v>
      </c>
      <c r="E88" s="8">
        <v>4.42</v>
      </c>
      <c r="F88" s="8">
        <v>3.15</v>
      </c>
      <c r="G88" s="9">
        <v>3.62</v>
      </c>
      <c r="H88">
        <f t="shared" si="1"/>
        <v>4.8899999999999988</v>
      </c>
    </row>
    <row r="89" spans="1:8" x14ac:dyDescent="0.25">
      <c r="A89" s="10">
        <v>44649</v>
      </c>
      <c r="B89" s="11">
        <v>0.26086805555555553</v>
      </c>
      <c r="C89" s="11">
        <v>0.79575231481481479</v>
      </c>
      <c r="D89" s="12">
        <v>7</v>
      </c>
      <c r="E89" s="12">
        <v>1.83</v>
      </c>
      <c r="F89" s="12">
        <v>0.6</v>
      </c>
      <c r="G89" s="13">
        <v>2.89</v>
      </c>
      <c r="H89">
        <f t="shared" si="1"/>
        <v>4.120000000000001</v>
      </c>
    </row>
    <row r="90" spans="1:8" x14ac:dyDescent="0.25">
      <c r="A90" s="6">
        <v>44650</v>
      </c>
      <c r="B90" s="7">
        <v>0.25924768518518521</v>
      </c>
      <c r="C90" s="7">
        <v>0.79695601851851849</v>
      </c>
      <c r="D90" s="8">
        <v>0</v>
      </c>
      <c r="E90" s="8">
        <v>10.86</v>
      </c>
      <c r="F90" s="8">
        <v>3.24</v>
      </c>
      <c r="G90" s="9">
        <v>1.57</v>
      </c>
      <c r="H90">
        <f t="shared" si="1"/>
        <v>9.19</v>
      </c>
    </row>
    <row r="91" spans="1:8" x14ac:dyDescent="0.25">
      <c r="A91" s="10">
        <v>44651</v>
      </c>
      <c r="B91" s="11">
        <v>0.25763888888888886</v>
      </c>
      <c r="C91" s="11">
        <v>0.7981597222222222</v>
      </c>
      <c r="D91" s="12">
        <v>0</v>
      </c>
      <c r="E91" s="12">
        <v>10.73</v>
      </c>
      <c r="F91" s="12">
        <v>3.02</v>
      </c>
      <c r="G91" s="13">
        <v>2.14</v>
      </c>
      <c r="H91">
        <f t="shared" si="1"/>
        <v>9.8500000000000014</v>
      </c>
    </row>
    <row r="92" spans="1:8" x14ac:dyDescent="0.25">
      <c r="A92" s="6">
        <v>44652</v>
      </c>
      <c r="B92" s="7">
        <v>0.25601851851851853</v>
      </c>
      <c r="C92" s="7">
        <v>0.79936342592592591</v>
      </c>
      <c r="D92" s="8">
        <v>3</v>
      </c>
      <c r="E92" s="8">
        <v>5.21</v>
      </c>
      <c r="F92" s="8">
        <v>2.46</v>
      </c>
      <c r="G92" s="9">
        <v>2.89</v>
      </c>
      <c r="H92">
        <f t="shared" si="1"/>
        <v>5.64</v>
      </c>
    </row>
    <row r="93" spans="1:8" x14ac:dyDescent="0.25">
      <c r="A93" s="10">
        <v>44653</v>
      </c>
      <c r="B93" s="11">
        <v>0.25440972222222225</v>
      </c>
      <c r="C93" s="11">
        <v>0.80055555555555558</v>
      </c>
      <c r="D93" s="12">
        <v>0</v>
      </c>
      <c r="E93" s="12">
        <v>11.83</v>
      </c>
      <c r="F93" s="12">
        <v>3.14</v>
      </c>
      <c r="G93" s="13">
        <v>1.08</v>
      </c>
      <c r="H93">
        <f t="shared" si="1"/>
        <v>9.77</v>
      </c>
    </row>
    <row r="94" spans="1:8" x14ac:dyDescent="0.25">
      <c r="A94" s="6">
        <v>44654</v>
      </c>
      <c r="B94" s="7">
        <v>0.2528009259259259</v>
      </c>
      <c r="C94" s="7">
        <v>0.80175925925925928</v>
      </c>
      <c r="D94" s="8">
        <v>6</v>
      </c>
      <c r="E94" s="8">
        <v>2.3199999999999998</v>
      </c>
      <c r="F94" s="8">
        <v>1.08</v>
      </c>
      <c r="G94" s="9">
        <v>4.09</v>
      </c>
      <c r="H94">
        <f t="shared" si="1"/>
        <v>5.33</v>
      </c>
    </row>
    <row r="95" spans="1:8" x14ac:dyDescent="0.25">
      <c r="A95" s="10">
        <v>44655</v>
      </c>
      <c r="B95" s="11">
        <v>0.25120370370370371</v>
      </c>
      <c r="C95" s="11">
        <v>0.80296296296296299</v>
      </c>
      <c r="D95" s="12">
        <v>2</v>
      </c>
      <c r="E95" s="12">
        <v>6.34</v>
      </c>
      <c r="F95" s="12">
        <v>3.25</v>
      </c>
      <c r="G95" s="13">
        <v>2.0099999999999998</v>
      </c>
      <c r="H95">
        <f t="shared" si="1"/>
        <v>5.0999999999999996</v>
      </c>
    </row>
    <row r="96" spans="1:8" x14ac:dyDescent="0.25">
      <c r="A96" s="6">
        <v>44656</v>
      </c>
      <c r="B96" s="7">
        <v>0.24959490740740742</v>
      </c>
      <c r="C96" s="7">
        <v>0.80415509259259255</v>
      </c>
      <c r="D96" s="8">
        <v>4</v>
      </c>
      <c r="E96" s="8">
        <v>4.87</v>
      </c>
      <c r="F96" s="8">
        <v>1.47</v>
      </c>
      <c r="G96" s="9">
        <v>1.86</v>
      </c>
      <c r="H96">
        <f t="shared" si="1"/>
        <v>5.2600000000000007</v>
      </c>
    </row>
    <row r="97" spans="1:8" x14ac:dyDescent="0.25">
      <c r="A97" s="10">
        <v>44657</v>
      </c>
      <c r="B97" s="11">
        <v>0.24800925925925926</v>
      </c>
      <c r="C97" s="11">
        <v>0.80535879629629625</v>
      </c>
      <c r="D97" s="12">
        <v>4</v>
      </c>
      <c r="E97" s="12">
        <v>3.57</v>
      </c>
      <c r="F97" s="12">
        <v>0.16</v>
      </c>
      <c r="G97" s="13">
        <v>2.94</v>
      </c>
      <c r="H97">
        <f t="shared" si="1"/>
        <v>6.35</v>
      </c>
    </row>
    <row r="98" spans="1:8" x14ac:dyDescent="0.25">
      <c r="A98" s="6">
        <v>44658</v>
      </c>
      <c r="B98" s="7">
        <v>0.24641203703703704</v>
      </c>
      <c r="C98" s="7">
        <v>0.80656249999999996</v>
      </c>
      <c r="D98" s="8">
        <v>2</v>
      </c>
      <c r="E98" s="8">
        <v>6.61</v>
      </c>
      <c r="F98" s="8">
        <v>2.5099999999999998</v>
      </c>
      <c r="G98" s="9">
        <v>1.34</v>
      </c>
      <c r="H98">
        <f t="shared" si="1"/>
        <v>5.44</v>
      </c>
    </row>
    <row r="99" spans="1:8" x14ac:dyDescent="0.25">
      <c r="A99" s="10">
        <v>44659</v>
      </c>
      <c r="B99" s="11">
        <v>0.24482638888888889</v>
      </c>
      <c r="C99" s="11">
        <v>0.80775462962962963</v>
      </c>
      <c r="D99" s="12">
        <v>0</v>
      </c>
      <c r="E99" s="12">
        <v>14.15</v>
      </c>
      <c r="F99" s="12">
        <v>3.32</v>
      </c>
      <c r="G99" s="13">
        <v>1.82</v>
      </c>
      <c r="H99">
        <f t="shared" si="1"/>
        <v>12.65</v>
      </c>
    </row>
    <row r="100" spans="1:8" x14ac:dyDescent="0.25">
      <c r="A100" s="6">
        <v>44660</v>
      </c>
      <c r="B100" s="7">
        <v>0.24325231481481482</v>
      </c>
      <c r="C100" s="7">
        <v>0.80895833333333333</v>
      </c>
      <c r="D100" s="8">
        <v>0</v>
      </c>
      <c r="E100" s="8">
        <v>10.3</v>
      </c>
      <c r="F100" s="8">
        <v>3.31</v>
      </c>
      <c r="G100" s="9">
        <v>4.1500000000000004</v>
      </c>
      <c r="H100">
        <f t="shared" si="1"/>
        <v>11.14</v>
      </c>
    </row>
    <row r="101" spans="1:8" x14ac:dyDescent="0.25">
      <c r="A101" s="10">
        <v>44661</v>
      </c>
      <c r="B101" s="11">
        <v>0.24167824074074074</v>
      </c>
      <c r="C101" s="11">
        <v>0.81016203703703704</v>
      </c>
      <c r="D101" s="12">
        <v>0</v>
      </c>
      <c r="E101" s="12">
        <v>10.039999999999999</v>
      </c>
      <c r="F101" s="12">
        <v>3.85</v>
      </c>
      <c r="G101" s="13">
        <v>3.16</v>
      </c>
      <c r="H101">
        <f t="shared" si="1"/>
        <v>9.35</v>
      </c>
    </row>
    <row r="102" spans="1:8" x14ac:dyDescent="0.25">
      <c r="A102" s="6">
        <v>44662</v>
      </c>
      <c r="B102" s="7">
        <v>0.24010416666666667</v>
      </c>
      <c r="C102" s="7">
        <v>0.81135416666666671</v>
      </c>
      <c r="D102" s="8">
        <v>4</v>
      </c>
      <c r="E102" s="8">
        <v>3.82</v>
      </c>
      <c r="F102" s="8">
        <v>1.64</v>
      </c>
      <c r="G102" s="9">
        <v>3.12</v>
      </c>
      <c r="H102">
        <f t="shared" si="1"/>
        <v>5.3</v>
      </c>
    </row>
    <row r="103" spans="1:8" x14ac:dyDescent="0.25">
      <c r="A103" s="10">
        <v>44663</v>
      </c>
      <c r="B103" s="11">
        <v>0.23854166666666668</v>
      </c>
      <c r="C103" s="11">
        <v>0.81255787037037042</v>
      </c>
      <c r="D103" s="12">
        <v>1</v>
      </c>
      <c r="E103" s="12">
        <v>7.92</v>
      </c>
      <c r="F103" s="12">
        <v>3.79</v>
      </c>
      <c r="G103" s="13">
        <v>3.05</v>
      </c>
      <c r="H103">
        <f t="shared" si="1"/>
        <v>7.1799999999999988</v>
      </c>
    </row>
    <row r="104" spans="1:8" x14ac:dyDescent="0.25">
      <c r="A104" s="6">
        <v>44664</v>
      </c>
      <c r="B104" s="7">
        <v>0.23699074074074075</v>
      </c>
      <c r="C104" s="7">
        <v>0.81376157407407412</v>
      </c>
      <c r="D104" s="8">
        <v>1</v>
      </c>
      <c r="E104" s="8">
        <v>7.5</v>
      </c>
      <c r="F104" s="8">
        <v>3.12</v>
      </c>
      <c r="G104" s="9">
        <v>2.94</v>
      </c>
      <c r="H104">
        <f t="shared" si="1"/>
        <v>7.3199999999999994</v>
      </c>
    </row>
    <row r="105" spans="1:8" x14ac:dyDescent="0.25">
      <c r="A105" s="10">
        <v>44665</v>
      </c>
      <c r="B105" s="11">
        <v>0.23543981481481482</v>
      </c>
      <c r="C105" s="11">
        <v>0.81495370370370368</v>
      </c>
      <c r="D105" s="12">
        <v>0</v>
      </c>
      <c r="E105" s="12">
        <v>12.58</v>
      </c>
      <c r="F105" s="12">
        <v>3.42</v>
      </c>
      <c r="G105" s="13">
        <v>2.0499999999999998</v>
      </c>
      <c r="H105">
        <f t="shared" si="1"/>
        <v>11.209999999999999</v>
      </c>
    </row>
    <row r="106" spans="1:8" x14ac:dyDescent="0.25">
      <c r="A106" s="6">
        <v>44666</v>
      </c>
      <c r="B106" s="7">
        <v>0.23390046296296296</v>
      </c>
      <c r="C106" s="7">
        <v>0.81615740740740739</v>
      </c>
      <c r="D106" s="8">
        <v>2</v>
      </c>
      <c r="E106" s="8">
        <v>7.66</v>
      </c>
      <c r="F106" s="8">
        <v>3.41</v>
      </c>
      <c r="G106" s="9">
        <v>1.68</v>
      </c>
      <c r="H106">
        <f t="shared" si="1"/>
        <v>5.93</v>
      </c>
    </row>
    <row r="107" spans="1:8" x14ac:dyDescent="0.25">
      <c r="A107" s="10">
        <v>44667</v>
      </c>
      <c r="B107" s="11">
        <v>0.2323726851851852</v>
      </c>
      <c r="C107" s="11">
        <v>0.81736111111111109</v>
      </c>
      <c r="D107" s="12">
        <v>4</v>
      </c>
      <c r="E107" s="12">
        <v>4.16</v>
      </c>
      <c r="F107" s="12">
        <v>1.58</v>
      </c>
      <c r="G107" s="13">
        <v>2.89</v>
      </c>
      <c r="H107">
        <f t="shared" si="1"/>
        <v>5.4700000000000006</v>
      </c>
    </row>
    <row r="108" spans="1:8" x14ac:dyDescent="0.25">
      <c r="A108" s="6">
        <v>44668</v>
      </c>
      <c r="B108" s="7">
        <v>0.2308449074074074</v>
      </c>
      <c r="C108" s="7">
        <v>0.8185648148148148</v>
      </c>
      <c r="D108" s="8">
        <v>6</v>
      </c>
      <c r="E108" s="8">
        <v>2.34</v>
      </c>
      <c r="F108" s="8">
        <v>1.06</v>
      </c>
      <c r="G108" s="9">
        <v>2.46</v>
      </c>
      <c r="H108">
        <f t="shared" si="1"/>
        <v>3.7399999999999998</v>
      </c>
    </row>
    <row r="109" spans="1:8" x14ac:dyDescent="0.25">
      <c r="A109" s="10">
        <v>44669</v>
      </c>
      <c r="B109" s="11">
        <v>0.22934027777777777</v>
      </c>
      <c r="C109" s="11">
        <v>0.81975694444444447</v>
      </c>
      <c r="D109" s="12">
        <v>6</v>
      </c>
      <c r="E109" s="12">
        <v>2.42</v>
      </c>
      <c r="F109" s="12">
        <v>1.24</v>
      </c>
      <c r="G109" s="13">
        <v>2.97</v>
      </c>
      <c r="H109">
        <f t="shared" si="1"/>
        <v>4.1500000000000004</v>
      </c>
    </row>
    <row r="110" spans="1:8" x14ac:dyDescent="0.25">
      <c r="A110" s="6">
        <v>44670</v>
      </c>
      <c r="B110" s="7">
        <v>0.22783564814814813</v>
      </c>
      <c r="C110" s="7">
        <v>0.82096064814814818</v>
      </c>
      <c r="D110" s="8">
        <v>4</v>
      </c>
      <c r="E110" s="8">
        <v>3.78</v>
      </c>
      <c r="F110" s="8">
        <v>2.0699999999999998</v>
      </c>
      <c r="G110" s="9">
        <v>2.93</v>
      </c>
      <c r="H110">
        <f t="shared" si="1"/>
        <v>4.6400000000000006</v>
      </c>
    </row>
    <row r="111" spans="1:8" x14ac:dyDescent="0.25">
      <c r="A111" s="10">
        <v>44671</v>
      </c>
      <c r="B111" s="11">
        <v>0.2263425925925926</v>
      </c>
      <c r="C111" s="11">
        <v>0.82215277777777773</v>
      </c>
      <c r="D111" s="12">
        <v>1</v>
      </c>
      <c r="E111" s="12">
        <v>7.54</v>
      </c>
      <c r="F111" s="12">
        <v>2.57</v>
      </c>
      <c r="G111" s="13">
        <v>2.06</v>
      </c>
      <c r="H111">
        <f t="shared" si="1"/>
        <v>7.0299999999999994</v>
      </c>
    </row>
    <row r="112" spans="1:8" x14ac:dyDescent="0.25">
      <c r="A112" s="6">
        <v>44672</v>
      </c>
      <c r="B112" s="7">
        <v>0.22486111111111112</v>
      </c>
      <c r="C112" s="7">
        <v>0.82335648148148144</v>
      </c>
      <c r="D112" s="8">
        <v>0</v>
      </c>
      <c r="E112" s="8">
        <v>13.18</v>
      </c>
      <c r="F112" s="8">
        <v>3.56</v>
      </c>
      <c r="G112" s="9">
        <v>2.02</v>
      </c>
      <c r="H112">
        <f t="shared" si="1"/>
        <v>11.639999999999999</v>
      </c>
    </row>
    <row r="113" spans="1:8" x14ac:dyDescent="0.25">
      <c r="A113" s="10">
        <v>44673</v>
      </c>
      <c r="B113" s="11">
        <v>0.22337962962962962</v>
      </c>
      <c r="C113" s="11">
        <v>0.82456018518518515</v>
      </c>
      <c r="D113" s="12">
        <v>5</v>
      </c>
      <c r="E113" s="12">
        <v>2.54</v>
      </c>
      <c r="F113" s="12">
        <v>0.68</v>
      </c>
      <c r="G113" s="13">
        <v>3.58</v>
      </c>
      <c r="H113">
        <f t="shared" si="1"/>
        <v>5.44</v>
      </c>
    </row>
    <row r="114" spans="1:8" x14ac:dyDescent="0.25">
      <c r="A114" s="6">
        <v>44674</v>
      </c>
      <c r="B114" s="7">
        <v>0.22192129629629628</v>
      </c>
      <c r="C114" s="7">
        <v>0.82575231481481481</v>
      </c>
      <c r="D114" s="8">
        <v>0</v>
      </c>
      <c r="E114" s="8">
        <v>10.62</v>
      </c>
      <c r="F114" s="8">
        <v>3.13</v>
      </c>
      <c r="G114" s="9">
        <v>2.0699999999999998</v>
      </c>
      <c r="H114">
        <f t="shared" si="1"/>
        <v>9.5599999999999987</v>
      </c>
    </row>
    <row r="115" spans="1:8" x14ac:dyDescent="0.25">
      <c r="A115" s="10">
        <v>44675</v>
      </c>
      <c r="B115" s="11">
        <v>0.22047453703703704</v>
      </c>
      <c r="C115" s="11">
        <v>0.82694444444444448</v>
      </c>
      <c r="D115" s="12">
        <v>0</v>
      </c>
      <c r="E115" s="12">
        <v>13.23</v>
      </c>
      <c r="F115" s="12">
        <v>3.2</v>
      </c>
      <c r="G115" s="13">
        <v>0.56000000000000005</v>
      </c>
      <c r="H115">
        <f t="shared" si="1"/>
        <v>10.59</v>
      </c>
    </row>
    <row r="116" spans="1:8" x14ac:dyDescent="0.25">
      <c r="A116" s="6">
        <v>44676</v>
      </c>
      <c r="B116" s="7">
        <v>0.21903935185185186</v>
      </c>
      <c r="C116" s="7">
        <v>0.82814814814814819</v>
      </c>
      <c r="D116" s="8">
        <v>6</v>
      </c>
      <c r="E116" s="8">
        <v>3.09</v>
      </c>
      <c r="F116" s="8">
        <v>1.32</v>
      </c>
      <c r="G116" s="9">
        <v>3.52</v>
      </c>
      <c r="H116">
        <f t="shared" si="1"/>
        <v>5.2899999999999991</v>
      </c>
    </row>
    <row r="117" spans="1:8" x14ac:dyDescent="0.25">
      <c r="A117" s="10">
        <v>44677</v>
      </c>
      <c r="B117" s="11">
        <v>0.21761574074074075</v>
      </c>
      <c r="C117" s="11">
        <v>0.82934027777777775</v>
      </c>
      <c r="D117" s="12">
        <v>2</v>
      </c>
      <c r="E117" s="12">
        <v>5.84</v>
      </c>
      <c r="F117" s="12">
        <v>2.5099999999999998</v>
      </c>
      <c r="G117" s="13">
        <v>1.33</v>
      </c>
      <c r="H117">
        <f t="shared" si="1"/>
        <v>4.66</v>
      </c>
    </row>
    <row r="118" spans="1:8" x14ac:dyDescent="0.25">
      <c r="A118" s="6">
        <v>44678</v>
      </c>
      <c r="B118" s="7">
        <v>0.2162037037037037</v>
      </c>
      <c r="C118" s="7">
        <v>0.83053240740740741</v>
      </c>
      <c r="D118" s="8">
        <v>2</v>
      </c>
      <c r="E118" s="8">
        <v>6.08</v>
      </c>
      <c r="F118" s="8">
        <v>2.34</v>
      </c>
      <c r="G118" s="9">
        <v>1.65</v>
      </c>
      <c r="H118">
        <f t="shared" si="1"/>
        <v>5.3900000000000006</v>
      </c>
    </row>
    <row r="119" spans="1:8" x14ac:dyDescent="0.25">
      <c r="A119" s="10">
        <v>44679</v>
      </c>
      <c r="B119" s="11">
        <v>0.21480324074074075</v>
      </c>
      <c r="C119" s="11">
        <v>0.83171296296296293</v>
      </c>
      <c r="D119" s="12">
        <v>6</v>
      </c>
      <c r="E119" s="12">
        <v>3.61</v>
      </c>
      <c r="F119" s="12">
        <v>1.32</v>
      </c>
      <c r="G119" s="13">
        <v>2.14</v>
      </c>
      <c r="H119">
        <f t="shared" si="1"/>
        <v>4.43</v>
      </c>
    </row>
    <row r="120" spans="1:8" x14ac:dyDescent="0.25">
      <c r="A120" s="6">
        <v>44680</v>
      </c>
      <c r="B120" s="7">
        <v>0.21342592592592594</v>
      </c>
      <c r="C120" s="7">
        <v>0.8329050925925926</v>
      </c>
      <c r="D120" s="8">
        <v>1</v>
      </c>
      <c r="E120" s="8">
        <v>9.2799999999999994</v>
      </c>
      <c r="F120" s="8">
        <v>3.62</v>
      </c>
      <c r="G120" s="9">
        <v>2.17</v>
      </c>
      <c r="H120">
        <f t="shared" si="1"/>
        <v>7.8299999999999992</v>
      </c>
    </row>
    <row r="121" spans="1:8" x14ac:dyDescent="0.25">
      <c r="A121" s="10">
        <v>44681</v>
      </c>
      <c r="B121" s="11">
        <v>0.21206018518518518</v>
      </c>
      <c r="C121" s="11">
        <v>0.83408564814814812</v>
      </c>
      <c r="D121" s="12">
        <v>5</v>
      </c>
      <c r="E121" s="12">
        <v>4.6900000000000004</v>
      </c>
      <c r="F121" s="12">
        <v>3.21</v>
      </c>
      <c r="G121" s="13">
        <v>2.9</v>
      </c>
      <c r="H121">
        <f t="shared" si="1"/>
        <v>4.38</v>
      </c>
    </row>
    <row r="122" spans="1:8" x14ac:dyDescent="0.25">
      <c r="A122" s="6">
        <v>44682</v>
      </c>
      <c r="B122" s="7">
        <v>0.21070601851851853</v>
      </c>
      <c r="C122" s="7">
        <v>0.83526620370370375</v>
      </c>
      <c r="D122" s="8">
        <v>3</v>
      </c>
      <c r="E122" s="8">
        <v>4.0999999999999996</v>
      </c>
      <c r="F122" s="8">
        <v>2.16</v>
      </c>
      <c r="G122" s="9">
        <v>3.12</v>
      </c>
      <c r="H122">
        <f t="shared" si="1"/>
        <v>5.0599999999999996</v>
      </c>
    </row>
    <row r="123" spans="1:8" x14ac:dyDescent="0.25">
      <c r="A123" s="10">
        <v>44683</v>
      </c>
      <c r="B123" s="11">
        <v>0.20936342592592594</v>
      </c>
      <c r="C123" s="11">
        <v>0.83644675925925926</v>
      </c>
      <c r="D123" s="12">
        <v>0</v>
      </c>
      <c r="E123" s="12">
        <v>12.23</v>
      </c>
      <c r="F123" s="12">
        <v>3.94</v>
      </c>
      <c r="G123" s="13">
        <v>2.0099999999999998</v>
      </c>
      <c r="H123">
        <f t="shared" si="1"/>
        <v>10.3</v>
      </c>
    </row>
    <row r="124" spans="1:8" x14ac:dyDescent="0.25">
      <c r="A124" s="6">
        <v>44684</v>
      </c>
      <c r="B124" s="7">
        <v>0.20804398148148148</v>
      </c>
      <c r="C124" s="7">
        <v>0.83762731481481478</v>
      </c>
      <c r="D124" s="8">
        <v>3</v>
      </c>
      <c r="E124" s="8">
        <v>5.28</v>
      </c>
      <c r="F124" s="8">
        <v>2.87</v>
      </c>
      <c r="G124" s="9">
        <v>2.58</v>
      </c>
      <c r="H124">
        <f t="shared" si="1"/>
        <v>4.99</v>
      </c>
    </row>
    <row r="125" spans="1:8" x14ac:dyDescent="0.25">
      <c r="A125" s="10">
        <v>44685</v>
      </c>
      <c r="B125" s="11">
        <v>0.20673611111111112</v>
      </c>
      <c r="C125" s="11">
        <v>0.83879629629629626</v>
      </c>
      <c r="D125" s="12">
        <v>0</v>
      </c>
      <c r="E125" s="12">
        <v>13.63</v>
      </c>
      <c r="F125" s="12">
        <v>3.27</v>
      </c>
      <c r="G125" s="13">
        <v>0.93</v>
      </c>
      <c r="H125">
        <f t="shared" si="1"/>
        <v>11.290000000000001</v>
      </c>
    </row>
    <row r="126" spans="1:8" x14ac:dyDescent="0.25">
      <c r="A126" s="6">
        <v>44686</v>
      </c>
      <c r="B126" s="7">
        <v>0.20545138888888889</v>
      </c>
      <c r="C126" s="7">
        <v>0.8399537037037037</v>
      </c>
      <c r="D126" s="8">
        <v>0</v>
      </c>
      <c r="E126" s="8">
        <v>13.36</v>
      </c>
      <c r="F126" s="8">
        <v>3.91</v>
      </c>
      <c r="G126" s="9">
        <v>1.56</v>
      </c>
      <c r="H126">
        <f t="shared" si="1"/>
        <v>11.01</v>
      </c>
    </row>
    <row r="127" spans="1:8" x14ac:dyDescent="0.25">
      <c r="A127" s="10">
        <v>44687</v>
      </c>
      <c r="B127" s="11">
        <v>0.20418981481481482</v>
      </c>
      <c r="C127" s="11">
        <v>0.84112268518518518</v>
      </c>
      <c r="D127" s="12">
        <v>1</v>
      </c>
      <c r="E127" s="12">
        <v>8.76</v>
      </c>
      <c r="F127" s="12">
        <v>3.15</v>
      </c>
      <c r="G127" s="13">
        <v>1.42</v>
      </c>
      <c r="H127">
        <f t="shared" si="1"/>
        <v>7.0299999999999994</v>
      </c>
    </row>
    <row r="128" spans="1:8" x14ac:dyDescent="0.25">
      <c r="A128" s="6">
        <v>44688</v>
      </c>
      <c r="B128" s="7">
        <v>0.20293981481481482</v>
      </c>
      <c r="C128" s="7">
        <v>0.84226851851851847</v>
      </c>
      <c r="D128" s="8">
        <v>2</v>
      </c>
      <c r="E128" s="8">
        <v>5.66</v>
      </c>
      <c r="F128" s="8">
        <v>4.2</v>
      </c>
      <c r="G128" s="9">
        <v>2.94</v>
      </c>
      <c r="H128">
        <f t="shared" si="1"/>
        <v>4.3999999999999995</v>
      </c>
    </row>
    <row r="129" spans="1:8" x14ac:dyDescent="0.25">
      <c r="A129" s="10">
        <v>44689</v>
      </c>
      <c r="B129" s="11">
        <v>0.20170138888888889</v>
      </c>
      <c r="C129" s="11">
        <v>0.84342592592592591</v>
      </c>
      <c r="D129" s="12">
        <v>2</v>
      </c>
      <c r="E129" s="12">
        <v>6.84</v>
      </c>
      <c r="F129" s="12">
        <v>4.38</v>
      </c>
      <c r="G129" s="13">
        <v>2.0499999999999998</v>
      </c>
      <c r="H129">
        <f t="shared" si="1"/>
        <v>4.5100000000000007</v>
      </c>
    </row>
    <row r="130" spans="1:8" x14ac:dyDescent="0.25">
      <c r="A130" s="6">
        <v>44690</v>
      </c>
      <c r="B130" s="7">
        <v>0.20049768518518518</v>
      </c>
      <c r="C130" s="7">
        <v>0.84456018518518516</v>
      </c>
      <c r="D130" s="8">
        <v>7</v>
      </c>
      <c r="E130" s="8">
        <v>2.89</v>
      </c>
      <c r="F130" s="8">
        <v>0.59</v>
      </c>
      <c r="G130" s="9">
        <v>2.19</v>
      </c>
      <c r="H130">
        <f t="shared" si="1"/>
        <v>4.49</v>
      </c>
    </row>
    <row r="131" spans="1:8" x14ac:dyDescent="0.25">
      <c r="A131" s="10">
        <v>44691</v>
      </c>
      <c r="B131" s="11">
        <v>0.19930555555555557</v>
      </c>
      <c r="C131" s="11">
        <v>0.84570601851851857</v>
      </c>
      <c r="D131" s="12">
        <v>3</v>
      </c>
      <c r="E131" s="12">
        <v>5.65</v>
      </c>
      <c r="F131" s="12">
        <v>3.89</v>
      </c>
      <c r="G131" s="13">
        <v>3.4</v>
      </c>
      <c r="H131">
        <f t="shared" ref="H131:H194" si="2">G131+E131-F131</f>
        <v>5.16</v>
      </c>
    </row>
    <row r="132" spans="1:8" x14ac:dyDescent="0.25">
      <c r="A132" s="6">
        <v>44692</v>
      </c>
      <c r="B132" s="7">
        <v>0.19813657407407406</v>
      </c>
      <c r="C132" s="7">
        <v>0.84682870370370367</v>
      </c>
      <c r="D132" s="8">
        <v>1</v>
      </c>
      <c r="E132" s="8">
        <v>8.83</v>
      </c>
      <c r="F132" s="8">
        <v>3.04</v>
      </c>
      <c r="G132" s="9">
        <v>2.06</v>
      </c>
      <c r="H132">
        <f t="shared" si="2"/>
        <v>7.8500000000000005</v>
      </c>
    </row>
    <row r="133" spans="1:8" x14ac:dyDescent="0.25">
      <c r="A133" s="10">
        <v>44693</v>
      </c>
      <c r="B133" s="11">
        <v>0.19699074074074074</v>
      </c>
      <c r="C133" s="11">
        <v>0.84795138888888888</v>
      </c>
      <c r="D133" s="12">
        <v>0</v>
      </c>
      <c r="E133" s="12">
        <v>12.14</v>
      </c>
      <c r="F133" s="12">
        <v>5.23</v>
      </c>
      <c r="G133" s="13">
        <v>3.48</v>
      </c>
      <c r="H133">
        <f t="shared" si="2"/>
        <v>10.39</v>
      </c>
    </row>
    <row r="134" spans="1:8" x14ac:dyDescent="0.25">
      <c r="A134" s="6">
        <v>44694</v>
      </c>
      <c r="B134" s="7">
        <v>0.19585648148148149</v>
      </c>
      <c r="C134" s="7">
        <v>0.84906250000000005</v>
      </c>
      <c r="D134" s="8">
        <v>1</v>
      </c>
      <c r="E134" s="8">
        <v>14.36</v>
      </c>
      <c r="F134" s="8">
        <v>6.3</v>
      </c>
      <c r="G134" s="9">
        <v>1.57</v>
      </c>
      <c r="H134">
        <f t="shared" si="2"/>
        <v>9.629999999999999</v>
      </c>
    </row>
    <row r="135" spans="1:8" x14ac:dyDescent="0.25">
      <c r="A135" s="10">
        <v>44695</v>
      </c>
      <c r="B135" s="11">
        <v>0.19475694444444444</v>
      </c>
      <c r="C135" s="11">
        <v>0.85016203703703708</v>
      </c>
      <c r="D135" s="12">
        <v>8</v>
      </c>
      <c r="E135" s="12">
        <v>1.1299999999999999</v>
      </c>
      <c r="F135" s="12">
        <v>0.66</v>
      </c>
      <c r="G135" s="13">
        <v>3.45</v>
      </c>
      <c r="H135">
        <f t="shared" si="2"/>
        <v>3.92</v>
      </c>
    </row>
    <row r="136" spans="1:8" x14ac:dyDescent="0.25">
      <c r="A136" s="6">
        <v>44696</v>
      </c>
      <c r="B136" s="7">
        <v>0.19368055555555555</v>
      </c>
      <c r="C136" s="7">
        <v>0.85124999999999995</v>
      </c>
      <c r="D136" s="8">
        <v>1</v>
      </c>
      <c r="E136" s="8">
        <v>10.59</v>
      </c>
      <c r="F136" s="8">
        <v>4.34</v>
      </c>
      <c r="G136" s="9">
        <v>2.6</v>
      </c>
      <c r="H136">
        <f t="shared" si="2"/>
        <v>8.85</v>
      </c>
    </row>
    <row r="137" spans="1:8" x14ac:dyDescent="0.25">
      <c r="A137" s="10">
        <v>44697</v>
      </c>
      <c r="B137" s="11">
        <v>0.19262731481481482</v>
      </c>
      <c r="C137" s="11">
        <v>0.8523263888888889</v>
      </c>
      <c r="D137" s="12">
        <v>0</v>
      </c>
      <c r="E137" s="12">
        <v>16.309999999999999</v>
      </c>
      <c r="F137" s="12">
        <v>5.36</v>
      </c>
      <c r="G137" s="13">
        <v>1.89</v>
      </c>
      <c r="H137">
        <f t="shared" si="2"/>
        <v>12.84</v>
      </c>
    </row>
    <row r="138" spans="1:8" x14ac:dyDescent="0.25">
      <c r="A138" s="6">
        <v>44698</v>
      </c>
      <c r="B138" s="7">
        <v>0.19158564814814816</v>
      </c>
      <c r="C138" s="7">
        <v>0.85340277777777773</v>
      </c>
      <c r="D138" s="8">
        <v>0</v>
      </c>
      <c r="E138" s="8">
        <v>14.39</v>
      </c>
      <c r="F138" s="8">
        <v>5.34</v>
      </c>
      <c r="G138" s="9">
        <v>1.1399999999999999</v>
      </c>
      <c r="H138">
        <f t="shared" si="2"/>
        <v>10.190000000000001</v>
      </c>
    </row>
    <row r="139" spans="1:8" x14ac:dyDescent="0.25">
      <c r="A139" s="10">
        <v>44699</v>
      </c>
      <c r="B139" s="11">
        <v>0.19059027777777779</v>
      </c>
      <c r="C139" s="11">
        <v>0.85445601851851849</v>
      </c>
      <c r="D139" s="12">
        <v>0</v>
      </c>
      <c r="E139" s="12">
        <v>15.29</v>
      </c>
      <c r="F139" s="12">
        <v>4.59</v>
      </c>
      <c r="G139" s="13">
        <v>1.27</v>
      </c>
      <c r="H139">
        <f t="shared" si="2"/>
        <v>11.969999999999999</v>
      </c>
    </row>
    <row r="140" spans="1:8" x14ac:dyDescent="0.25">
      <c r="A140" s="6">
        <v>44700</v>
      </c>
      <c r="B140" s="7">
        <v>0.18960648148148149</v>
      </c>
      <c r="C140" s="7">
        <v>0.85549768518518521</v>
      </c>
      <c r="D140" s="8">
        <v>5</v>
      </c>
      <c r="E140" s="8">
        <v>5.77</v>
      </c>
      <c r="F140" s="8">
        <v>2.58</v>
      </c>
      <c r="G140" s="9">
        <v>1.1599999999999999</v>
      </c>
      <c r="H140">
        <f t="shared" si="2"/>
        <v>4.3499999999999996</v>
      </c>
    </row>
    <row r="141" spans="1:8" x14ac:dyDescent="0.25">
      <c r="A141" s="10">
        <v>44701</v>
      </c>
      <c r="B141" s="11">
        <v>0.18864583333333335</v>
      </c>
      <c r="C141" s="11">
        <v>0.85652777777777778</v>
      </c>
      <c r="D141" s="12">
        <v>3</v>
      </c>
      <c r="E141" s="12">
        <v>6.62</v>
      </c>
      <c r="F141" s="12">
        <v>4.3</v>
      </c>
      <c r="G141" s="13">
        <v>2.2799999999999998</v>
      </c>
      <c r="H141">
        <f t="shared" si="2"/>
        <v>4.6000000000000005</v>
      </c>
    </row>
    <row r="142" spans="1:8" x14ac:dyDescent="0.25">
      <c r="A142" s="6">
        <v>44702</v>
      </c>
      <c r="B142" s="7">
        <v>0.1877199074074074</v>
      </c>
      <c r="C142" s="7">
        <v>0.85754629629629631</v>
      </c>
      <c r="D142" s="8">
        <v>2</v>
      </c>
      <c r="E142" s="8">
        <v>5.03</v>
      </c>
      <c r="F142" s="8">
        <v>2.81</v>
      </c>
      <c r="G142" s="9">
        <v>3.05</v>
      </c>
      <c r="H142">
        <f t="shared" si="2"/>
        <v>5.27</v>
      </c>
    </row>
    <row r="143" spans="1:8" x14ac:dyDescent="0.25">
      <c r="A143" s="10">
        <v>44703</v>
      </c>
      <c r="B143" s="11">
        <v>0.18682870370370369</v>
      </c>
      <c r="C143" s="11">
        <v>0.85854166666666665</v>
      </c>
      <c r="D143" s="12">
        <v>0</v>
      </c>
      <c r="E143" s="12">
        <v>14.1</v>
      </c>
      <c r="F143" s="12">
        <v>4.04</v>
      </c>
      <c r="G143" s="13">
        <v>2.86</v>
      </c>
      <c r="H143">
        <f t="shared" si="2"/>
        <v>12.920000000000002</v>
      </c>
    </row>
    <row r="144" spans="1:8" x14ac:dyDescent="0.25">
      <c r="A144" s="6">
        <v>44704</v>
      </c>
      <c r="B144" s="7">
        <v>0.18594907407407407</v>
      </c>
      <c r="C144" s="7">
        <v>0.85952546296296295</v>
      </c>
      <c r="D144" s="8">
        <v>8</v>
      </c>
      <c r="E144" s="8">
        <v>1.36</v>
      </c>
      <c r="F144" s="8">
        <v>0.57999999999999996</v>
      </c>
      <c r="G144" s="9">
        <v>4.95</v>
      </c>
      <c r="H144">
        <f t="shared" si="2"/>
        <v>5.73</v>
      </c>
    </row>
    <row r="145" spans="1:8" x14ac:dyDescent="0.25">
      <c r="A145" s="10">
        <v>44705</v>
      </c>
      <c r="B145" s="11">
        <v>0.18511574074074075</v>
      </c>
      <c r="C145" s="11">
        <v>0.86049768518518521</v>
      </c>
      <c r="D145" s="12">
        <v>8</v>
      </c>
      <c r="E145" s="12">
        <v>1.71</v>
      </c>
      <c r="F145" s="12">
        <v>0.14000000000000001</v>
      </c>
      <c r="G145" s="13">
        <v>3.51</v>
      </c>
      <c r="H145">
        <f t="shared" si="2"/>
        <v>5.08</v>
      </c>
    </row>
    <row r="146" spans="1:8" x14ac:dyDescent="0.25">
      <c r="A146" s="6">
        <v>44706</v>
      </c>
      <c r="B146" s="7">
        <v>0.18429398148148149</v>
      </c>
      <c r="C146" s="7">
        <v>0.86144675925925929</v>
      </c>
      <c r="D146" s="8">
        <v>6</v>
      </c>
      <c r="E146" s="8">
        <v>1.6</v>
      </c>
      <c r="F146" s="8">
        <v>0.94</v>
      </c>
      <c r="G146" s="9">
        <v>4.68</v>
      </c>
      <c r="H146">
        <f t="shared" si="2"/>
        <v>5.34</v>
      </c>
    </row>
    <row r="147" spans="1:8" x14ac:dyDescent="0.25">
      <c r="A147" s="10">
        <v>44707</v>
      </c>
      <c r="B147" s="11">
        <v>0.18351851851851853</v>
      </c>
      <c r="C147" s="11">
        <v>0.86237268518518517</v>
      </c>
      <c r="D147" s="12">
        <v>4</v>
      </c>
      <c r="E147" s="12">
        <v>2.0699999999999998</v>
      </c>
      <c r="F147" s="12">
        <v>1.05</v>
      </c>
      <c r="G147" s="13">
        <v>3.94</v>
      </c>
      <c r="H147">
        <f t="shared" si="2"/>
        <v>4.96</v>
      </c>
    </row>
    <row r="148" spans="1:8" x14ac:dyDescent="0.25">
      <c r="A148" s="6">
        <v>44708</v>
      </c>
      <c r="B148" s="7">
        <v>0.18276620370370369</v>
      </c>
      <c r="C148" s="7">
        <v>0.86328703703703702</v>
      </c>
      <c r="D148" s="8">
        <v>4</v>
      </c>
      <c r="E148" s="8">
        <v>2.96</v>
      </c>
      <c r="F148" s="8">
        <v>1.06</v>
      </c>
      <c r="G148" s="9">
        <v>3.59</v>
      </c>
      <c r="H148">
        <f t="shared" si="2"/>
        <v>5.49</v>
      </c>
    </row>
    <row r="149" spans="1:8" x14ac:dyDescent="0.25">
      <c r="A149" s="10">
        <v>44709</v>
      </c>
      <c r="B149" s="11">
        <v>0.18203703703703702</v>
      </c>
      <c r="C149" s="11">
        <v>0.86416666666666664</v>
      </c>
      <c r="D149" s="12">
        <v>3</v>
      </c>
      <c r="E149" s="12">
        <v>5.78</v>
      </c>
      <c r="F149" s="12">
        <v>4.2</v>
      </c>
      <c r="G149" s="13">
        <v>2.96</v>
      </c>
      <c r="H149">
        <f t="shared" si="2"/>
        <v>4.54</v>
      </c>
    </row>
    <row r="150" spans="1:8" x14ac:dyDescent="0.25">
      <c r="A150" s="6">
        <v>44710</v>
      </c>
      <c r="B150" s="7">
        <v>0.18135416666666668</v>
      </c>
      <c r="C150" s="7">
        <v>0.86504629629629626</v>
      </c>
      <c r="D150" s="8">
        <v>1</v>
      </c>
      <c r="E150" s="8">
        <v>15.38</v>
      </c>
      <c r="F150" s="8">
        <v>10.54</v>
      </c>
      <c r="G150" s="9">
        <v>2.16</v>
      </c>
      <c r="H150">
        <f t="shared" si="2"/>
        <v>7</v>
      </c>
    </row>
    <row r="151" spans="1:8" x14ac:dyDescent="0.25">
      <c r="A151" s="10">
        <v>44711</v>
      </c>
      <c r="B151" s="11">
        <v>0.18069444444444444</v>
      </c>
      <c r="C151" s="11">
        <v>0.86589120370370365</v>
      </c>
      <c r="D151" s="12">
        <v>1</v>
      </c>
      <c r="E151" s="12">
        <v>15.89</v>
      </c>
      <c r="F151" s="12">
        <v>9.68</v>
      </c>
      <c r="G151" s="13">
        <v>1.24</v>
      </c>
      <c r="H151">
        <f t="shared" si="2"/>
        <v>7.4499999999999993</v>
      </c>
    </row>
    <row r="152" spans="1:8" x14ac:dyDescent="0.25">
      <c r="A152" s="6">
        <v>44712</v>
      </c>
      <c r="B152" s="7">
        <v>0.18006944444444445</v>
      </c>
      <c r="C152" s="7">
        <v>0.86671296296296296</v>
      </c>
      <c r="D152" s="8">
        <v>0</v>
      </c>
      <c r="E152" s="8">
        <v>18.7</v>
      </c>
      <c r="F152" s="8">
        <v>9.4</v>
      </c>
      <c r="G152" s="9">
        <v>0.39</v>
      </c>
      <c r="H152">
        <f t="shared" si="2"/>
        <v>9.69</v>
      </c>
    </row>
    <row r="153" spans="1:8" x14ac:dyDescent="0.25">
      <c r="A153" s="10">
        <v>44713</v>
      </c>
      <c r="B153" s="11">
        <v>0.17947916666666666</v>
      </c>
      <c r="C153" s="11">
        <v>0.86751157407407409</v>
      </c>
      <c r="D153" s="12">
        <v>0</v>
      </c>
      <c r="E153" s="12">
        <v>14.56</v>
      </c>
      <c r="F153" s="12">
        <v>3.3</v>
      </c>
      <c r="G153" s="13">
        <v>0.64</v>
      </c>
      <c r="H153">
        <f t="shared" si="2"/>
        <v>11.900000000000002</v>
      </c>
    </row>
    <row r="154" spans="1:8" x14ac:dyDescent="0.25">
      <c r="A154" s="6">
        <v>44714</v>
      </c>
      <c r="B154" s="7">
        <v>0.1789236111111111</v>
      </c>
      <c r="C154" s="7">
        <v>0.86828703703703702</v>
      </c>
      <c r="D154" s="8">
        <v>3</v>
      </c>
      <c r="E154" s="8">
        <v>5.87</v>
      </c>
      <c r="F154" s="8">
        <v>2.16</v>
      </c>
      <c r="G154" s="9">
        <v>2.14</v>
      </c>
      <c r="H154">
        <f t="shared" si="2"/>
        <v>5.85</v>
      </c>
    </row>
    <row r="155" spans="1:8" x14ac:dyDescent="0.25">
      <c r="A155" s="10">
        <v>44715</v>
      </c>
      <c r="B155" s="11">
        <v>0.17840277777777777</v>
      </c>
      <c r="C155" s="11">
        <v>0.86903935185185188</v>
      </c>
      <c r="D155" s="12">
        <v>0</v>
      </c>
      <c r="E155" s="12">
        <v>19.62</v>
      </c>
      <c r="F155" s="12">
        <v>9.23</v>
      </c>
      <c r="G155" s="13">
        <v>0.34</v>
      </c>
      <c r="H155">
        <f t="shared" si="2"/>
        <v>10.73</v>
      </c>
    </row>
    <row r="156" spans="1:8" x14ac:dyDescent="0.25">
      <c r="A156" s="6">
        <v>44716</v>
      </c>
      <c r="B156" s="7">
        <v>0.17791666666666667</v>
      </c>
      <c r="C156" s="7">
        <v>0.8697569444444444</v>
      </c>
      <c r="D156" s="8">
        <v>2</v>
      </c>
      <c r="E156" s="8">
        <v>5.79</v>
      </c>
      <c r="F156" s="8">
        <v>1.35</v>
      </c>
      <c r="G156" s="9">
        <v>1.1200000000000001</v>
      </c>
      <c r="H156">
        <f t="shared" si="2"/>
        <v>5.5600000000000005</v>
      </c>
    </row>
    <row r="157" spans="1:8" x14ac:dyDescent="0.25">
      <c r="A157" s="10">
        <v>44717</v>
      </c>
      <c r="B157" s="11">
        <v>0.1774537037037037</v>
      </c>
      <c r="C157" s="11">
        <v>0.87045138888888884</v>
      </c>
      <c r="D157" s="12">
        <v>1</v>
      </c>
      <c r="E157" s="12">
        <v>10.67</v>
      </c>
      <c r="F157" s="12">
        <v>5.16</v>
      </c>
      <c r="G157" s="13">
        <v>2.68</v>
      </c>
      <c r="H157">
        <f t="shared" si="2"/>
        <v>8.19</v>
      </c>
    </row>
    <row r="158" spans="1:8" x14ac:dyDescent="0.25">
      <c r="A158" s="6">
        <v>44718</v>
      </c>
      <c r="B158" s="7">
        <v>0.17703703703703705</v>
      </c>
      <c r="C158" s="7">
        <v>0.87112268518518521</v>
      </c>
      <c r="D158" s="8">
        <v>0</v>
      </c>
      <c r="E158" s="8">
        <v>12.47</v>
      </c>
      <c r="F158" s="8">
        <v>3.15</v>
      </c>
      <c r="G158" s="9">
        <v>1.34</v>
      </c>
      <c r="H158">
        <f t="shared" si="2"/>
        <v>10.66</v>
      </c>
    </row>
    <row r="159" spans="1:8" x14ac:dyDescent="0.25">
      <c r="A159" s="10">
        <v>44719</v>
      </c>
      <c r="B159" s="11">
        <v>0.1766550925925926</v>
      </c>
      <c r="C159" s="11">
        <v>0.87175925925925923</v>
      </c>
      <c r="D159" s="12">
        <v>0</v>
      </c>
      <c r="E159" s="12">
        <v>19.79</v>
      </c>
      <c r="F159" s="12">
        <v>12.84</v>
      </c>
      <c r="G159" s="13">
        <v>3.5</v>
      </c>
      <c r="H159">
        <f t="shared" si="2"/>
        <v>10.45</v>
      </c>
    </row>
    <row r="160" spans="1:8" x14ac:dyDescent="0.25">
      <c r="A160" s="6">
        <v>44720</v>
      </c>
      <c r="B160" s="7">
        <v>0.17631944444444445</v>
      </c>
      <c r="C160" s="7">
        <v>0.87237268518518518</v>
      </c>
      <c r="D160" s="8">
        <v>0</v>
      </c>
      <c r="E160" s="8">
        <v>12.57</v>
      </c>
      <c r="F160" s="8">
        <v>6.64</v>
      </c>
      <c r="G160" s="9">
        <v>3.26</v>
      </c>
      <c r="H160">
        <f t="shared" si="2"/>
        <v>9.1900000000000013</v>
      </c>
    </row>
    <row r="161" spans="1:8" x14ac:dyDescent="0.25">
      <c r="A161" s="10">
        <v>44721</v>
      </c>
      <c r="B161" s="11">
        <v>0.17600694444444445</v>
      </c>
      <c r="C161" s="11">
        <v>0.8729513888888889</v>
      </c>
      <c r="D161" s="12">
        <v>4</v>
      </c>
      <c r="E161" s="12">
        <v>4.3</v>
      </c>
      <c r="F161" s="12">
        <v>2.36</v>
      </c>
      <c r="G161" s="13">
        <v>3.54</v>
      </c>
      <c r="H161">
        <f t="shared" si="2"/>
        <v>5.48</v>
      </c>
    </row>
    <row r="162" spans="1:8" x14ac:dyDescent="0.25">
      <c r="A162" s="6">
        <v>44722</v>
      </c>
      <c r="B162" s="7">
        <v>0.17572916666666666</v>
      </c>
      <c r="C162" s="7">
        <v>0.87349537037037039</v>
      </c>
      <c r="D162" s="8">
        <v>1</v>
      </c>
      <c r="E162" s="8">
        <v>12.65</v>
      </c>
      <c r="F162" s="8">
        <v>6.94</v>
      </c>
      <c r="G162" s="9">
        <v>3.24</v>
      </c>
      <c r="H162">
        <f t="shared" si="2"/>
        <v>8.9499999999999993</v>
      </c>
    </row>
    <row r="163" spans="1:8" x14ac:dyDescent="0.25">
      <c r="A163" s="10">
        <v>44723</v>
      </c>
      <c r="B163" s="11">
        <v>0.17549768518518519</v>
      </c>
      <c r="C163" s="11">
        <v>0.8740162037037037</v>
      </c>
      <c r="D163" s="12">
        <v>1</v>
      </c>
      <c r="E163" s="12">
        <v>8.86</v>
      </c>
      <c r="F163" s="12">
        <v>2.94</v>
      </c>
      <c r="G163" s="13">
        <v>1.68</v>
      </c>
      <c r="H163">
        <f t="shared" si="2"/>
        <v>7.6</v>
      </c>
    </row>
    <row r="164" spans="1:8" x14ac:dyDescent="0.25">
      <c r="A164" s="6">
        <v>44724</v>
      </c>
      <c r="B164" s="7">
        <v>0.17530092592592592</v>
      </c>
      <c r="C164" s="7">
        <v>0.87450231481481477</v>
      </c>
      <c r="D164" s="8">
        <v>3</v>
      </c>
      <c r="E164" s="8">
        <v>5.64</v>
      </c>
      <c r="F164" s="8">
        <v>4.25</v>
      </c>
      <c r="G164" s="9">
        <v>4.95</v>
      </c>
      <c r="H164">
        <f t="shared" si="2"/>
        <v>6.34</v>
      </c>
    </row>
    <row r="165" spans="1:8" x14ac:dyDescent="0.25">
      <c r="A165" s="10">
        <v>44725</v>
      </c>
      <c r="B165" s="11">
        <v>0.1751388888888889</v>
      </c>
      <c r="C165" s="11">
        <v>0.87495370370370373</v>
      </c>
      <c r="D165" s="12">
        <v>2</v>
      </c>
      <c r="E165" s="12">
        <v>6.89</v>
      </c>
      <c r="F165" s="12">
        <v>3.98</v>
      </c>
      <c r="G165" s="13">
        <v>2.4900000000000002</v>
      </c>
      <c r="H165">
        <f t="shared" si="2"/>
        <v>5.3999999999999986</v>
      </c>
    </row>
    <row r="166" spans="1:8" x14ac:dyDescent="0.25">
      <c r="A166" s="6">
        <v>44726</v>
      </c>
      <c r="B166" s="7">
        <v>0.17501157407407408</v>
      </c>
      <c r="C166" s="7">
        <v>0.87537037037037035</v>
      </c>
      <c r="D166" s="8">
        <v>0</v>
      </c>
      <c r="E166" s="8">
        <v>14.03</v>
      </c>
      <c r="F166" s="8">
        <v>5.68</v>
      </c>
      <c r="G166" s="9">
        <v>2.95</v>
      </c>
      <c r="H166">
        <f t="shared" si="2"/>
        <v>11.3</v>
      </c>
    </row>
    <row r="167" spans="1:8" x14ac:dyDescent="0.25">
      <c r="A167" s="10">
        <v>44727</v>
      </c>
      <c r="B167" s="11">
        <v>0.17493055555555556</v>
      </c>
      <c r="C167" s="11">
        <v>0.87575231481481486</v>
      </c>
      <c r="D167" s="12">
        <v>1</v>
      </c>
      <c r="E167" s="12">
        <v>11.04</v>
      </c>
      <c r="F167" s="12">
        <v>4.9400000000000004</v>
      </c>
      <c r="G167" s="13">
        <v>3.41</v>
      </c>
      <c r="H167">
        <f t="shared" si="2"/>
        <v>9.509999999999998</v>
      </c>
    </row>
    <row r="168" spans="1:8" x14ac:dyDescent="0.25">
      <c r="A168" s="6">
        <v>44728</v>
      </c>
      <c r="B168" s="7">
        <v>0.17487268518518517</v>
      </c>
      <c r="C168" s="7">
        <v>0.87609953703703702</v>
      </c>
      <c r="D168" s="8">
        <v>0</v>
      </c>
      <c r="E168" s="8">
        <v>11.7</v>
      </c>
      <c r="F168" s="8">
        <v>4.79</v>
      </c>
      <c r="G168" s="9">
        <v>2.5099999999999998</v>
      </c>
      <c r="H168">
        <f t="shared" si="2"/>
        <v>9.4199999999999982</v>
      </c>
    </row>
    <row r="169" spans="1:8" x14ac:dyDescent="0.25">
      <c r="A169" s="10">
        <v>44729</v>
      </c>
      <c r="B169" s="11">
        <v>0.17486111111111111</v>
      </c>
      <c r="C169" s="11">
        <v>0.87641203703703707</v>
      </c>
      <c r="D169" s="12">
        <v>3</v>
      </c>
      <c r="E169" s="12">
        <v>5.39</v>
      </c>
      <c r="F169" s="12">
        <v>4.6500000000000004</v>
      </c>
      <c r="G169" s="13">
        <v>4.25</v>
      </c>
      <c r="H169">
        <f t="shared" si="2"/>
        <v>4.99</v>
      </c>
    </row>
    <row r="170" spans="1:8" x14ac:dyDescent="0.25">
      <c r="A170" s="6">
        <v>44730</v>
      </c>
      <c r="B170" s="7">
        <v>0.17488425925925927</v>
      </c>
      <c r="C170" s="7">
        <v>0.87668981481481478</v>
      </c>
      <c r="D170" s="8">
        <v>0</v>
      </c>
      <c r="E170" s="8">
        <v>11.1</v>
      </c>
      <c r="F170" s="8">
        <v>4.6399999999999997</v>
      </c>
      <c r="G170" s="9">
        <v>3.54</v>
      </c>
      <c r="H170">
        <f t="shared" si="2"/>
        <v>10</v>
      </c>
    </row>
    <row r="171" spans="1:8" x14ac:dyDescent="0.25">
      <c r="A171" s="10">
        <v>44731</v>
      </c>
      <c r="B171" s="11">
        <v>0.17495370370370369</v>
      </c>
      <c r="C171" s="11">
        <v>0.87693287037037038</v>
      </c>
      <c r="D171" s="12">
        <v>0</v>
      </c>
      <c r="E171" s="12">
        <v>15.81</v>
      </c>
      <c r="F171" s="12">
        <v>7.63</v>
      </c>
      <c r="G171" s="13">
        <v>2.02</v>
      </c>
      <c r="H171">
        <f t="shared" si="2"/>
        <v>10.200000000000003</v>
      </c>
    </row>
    <row r="172" spans="1:8" x14ac:dyDescent="0.25">
      <c r="A172" s="6">
        <v>44732</v>
      </c>
      <c r="B172" s="7">
        <v>0.17504629629629628</v>
      </c>
      <c r="C172" s="7">
        <v>0.87712962962962959</v>
      </c>
      <c r="D172" s="8">
        <v>2</v>
      </c>
      <c r="E172" s="8">
        <v>8.8800000000000008</v>
      </c>
      <c r="F172" s="8">
        <v>6.14</v>
      </c>
      <c r="G172" s="9">
        <v>3.61</v>
      </c>
      <c r="H172">
        <f t="shared" si="2"/>
        <v>6.3500000000000005</v>
      </c>
    </row>
    <row r="173" spans="1:8" x14ac:dyDescent="0.25">
      <c r="A173" s="10">
        <v>44733</v>
      </c>
      <c r="B173" s="11">
        <v>0.17518518518518519</v>
      </c>
      <c r="C173" s="11">
        <v>0.87730324074074073</v>
      </c>
      <c r="D173" s="12">
        <v>0</v>
      </c>
      <c r="E173" s="12">
        <v>14.44</v>
      </c>
      <c r="F173" s="12">
        <v>3.61</v>
      </c>
      <c r="G173" s="13">
        <v>0.56999999999999995</v>
      </c>
      <c r="H173">
        <f t="shared" si="2"/>
        <v>11.4</v>
      </c>
    </row>
    <row r="174" spans="1:8" x14ac:dyDescent="0.25">
      <c r="A174" s="6">
        <v>44734</v>
      </c>
      <c r="B174" s="7">
        <v>0.1753587962962963</v>
      </c>
      <c r="C174" s="7">
        <v>0.8774305555555556</v>
      </c>
      <c r="D174" s="8">
        <v>1</v>
      </c>
      <c r="E174" s="8">
        <v>9.7899999999999991</v>
      </c>
      <c r="F174" s="8">
        <v>4.8</v>
      </c>
      <c r="G174" s="9">
        <v>3.05</v>
      </c>
      <c r="H174">
        <f t="shared" si="2"/>
        <v>8.0399999999999991</v>
      </c>
    </row>
    <row r="175" spans="1:8" x14ac:dyDescent="0.25">
      <c r="A175" s="10">
        <v>44735</v>
      </c>
      <c r="B175" s="11">
        <v>0.17556712962962964</v>
      </c>
      <c r="C175" s="11">
        <v>0.87752314814814814</v>
      </c>
      <c r="D175" s="12">
        <v>0</v>
      </c>
      <c r="E175" s="12">
        <v>14.78</v>
      </c>
      <c r="F175" s="12">
        <v>6.76</v>
      </c>
      <c r="G175" s="13">
        <v>3.64</v>
      </c>
      <c r="H175">
        <f t="shared" si="2"/>
        <v>11.659999999999998</v>
      </c>
    </row>
    <row r="176" spans="1:8" x14ac:dyDescent="0.25">
      <c r="A176" s="6">
        <v>44736</v>
      </c>
      <c r="B176" s="7">
        <v>0.17581018518518518</v>
      </c>
      <c r="C176" s="7">
        <v>0.87758101851851855</v>
      </c>
      <c r="D176" s="8">
        <v>0</v>
      </c>
      <c r="E176" s="8">
        <v>14.52</v>
      </c>
      <c r="F176" s="8">
        <v>8.19</v>
      </c>
      <c r="G176" s="9">
        <v>3.95</v>
      </c>
      <c r="H176">
        <f t="shared" si="2"/>
        <v>10.28</v>
      </c>
    </row>
    <row r="177" spans="1:8" x14ac:dyDescent="0.25">
      <c r="A177" s="10">
        <v>44737</v>
      </c>
      <c r="B177" s="11">
        <v>0.17608796296296297</v>
      </c>
      <c r="C177" s="11">
        <v>0.87759259259259259</v>
      </c>
      <c r="D177" s="12">
        <v>3</v>
      </c>
      <c r="E177" s="12">
        <v>5.86</v>
      </c>
      <c r="F177" s="12">
        <v>4.1900000000000004</v>
      </c>
      <c r="G177" s="13">
        <v>3.85</v>
      </c>
      <c r="H177">
        <f t="shared" si="2"/>
        <v>5.5200000000000005</v>
      </c>
    </row>
    <row r="178" spans="1:8" x14ac:dyDescent="0.25">
      <c r="A178" s="6">
        <v>44738</v>
      </c>
      <c r="B178" s="7">
        <v>0.17640046296296297</v>
      </c>
      <c r="C178" s="7">
        <v>0.8775694444444444</v>
      </c>
      <c r="D178" s="8">
        <v>1</v>
      </c>
      <c r="E178" s="8">
        <v>12.81</v>
      </c>
      <c r="F178" s="8">
        <v>7.18</v>
      </c>
      <c r="G178" s="9">
        <v>1.54</v>
      </c>
      <c r="H178">
        <f t="shared" si="2"/>
        <v>7.1700000000000017</v>
      </c>
    </row>
    <row r="179" spans="1:8" x14ac:dyDescent="0.25">
      <c r="A179" s="10">
        <v>44739</v>
      </c>
      <c r="B179" s="11">
        <v>0.17674768518518519</v>
      </c>
      <c r="C179" s="11">
        <v>0.8775115740740741</v>
      </c>
      <c r="D179" s="12">
        <v>0</v>
      </c>
      <c r="E179" s="12">
        <v>13.22</v>
      </c>
      <c r="F179" s="12">
        <v>5.53</v>
      </c>
      <c r="G179" s="13">
        <v>4.26</v>
      </c>
      <c r="H179">
        <f t="shared" si="2"/>
        <v>11.95</v>
      </c>
    </row>
    <row r="180" spans="1:8" x14ac:dyDescent="0.25">
      <c r="A180" s="6">
        <v>44740</v>
      </c>
      <c r="B180" s="7">
        <v>0.17712962962962964</v>
      </c>
      <c r="C180" s="7">
        <v>0.87741898148148145</v>
      </c>
      <c r="D180" s="8">
        <v>0</v>
      </c>
      <c r="E180" s="8">
        <v>14.18</v>
      </c>
      <c r="F180" s="8">
        <v>6.49</v>
      </c>
      <c r="G180" s="9">
        <v>3.84</v>
      </c>
      <c r="H180">
        <f t="shared" si="2"/>
        <v>11.53</v>
      </c>
    </row>
    <row r="181" spans="1:8" x14ac:dyDescent="0.25">
      <c r="A181" s="10">
        <v>44741</v>
      </c>
      <c r="B181" s="11">
        <v>0.17754629629629629</v>
      </c>
      <c r="C181" s="11">
        <v>0.87729166666666669</v>
      </c>
      <c r="D181" s="12">
        <v>0</v>
      </c>
      <c r="E181" s="12">
        <v>18.47</v>
      </c>
      <c r="F181" s="12">
        <v>9.1999999999999993</v>
      </c>
      <c r="G181" s="13">
        <v>2.4700000000000002</v>
      </c>
      <c r="H181">
        <f t="shared" si="2"/>
        <v>11.739999999999998</v>
      </c>
    </row>
    <row r="182" spans="1:8" x14ac:dyDescent="0.25">
      <c r="A182" s="6">
        <v>44742</v>
      </c>
      <c r="B182" s="7">
        <v>0.17799768518518519</v>
      </c>
      <c r="C182" s="7">
        <v>0.87711805555555555</v>
      </c>
      <c r="D182" s="8">
        <v>3</v>
      </c>
      <c r="E182" s="8">
        <v>6.81</v>
      </c>
      <c r="F182" s="8">
        <v>2.59</v>
      </c>
      <c r="G182" s="9">
        <v>1.95</v>
      </c>
      <c r="H182">
        <f t="shared" si="2"/>
        <v>6.17</v>
      </c>
    </row>
    <row r="183" spans="1:8" x14ac:dyDescent="0.25">
      <c r="A183" s="10">
        <v>44743</v>
      </c>
      <c r="B183" s="11">
        <v>0.17847222222222223</v>
      </c>
      <c r="C183" s="11">
        <v>0.87690972222222219</v>
      </c>
      <c r="D183" s="12">
        <v>2</v>
      </c>
      <c r="E183" s="12">
        <v>2.96</v>
      </c>
      <c r="F183" s="12">
        <v>1.54</v>
      </c>
      <c r="G183" s="13">
        <v>4.5199999999999996</v>
      </c>
      <c r="H183">
        <f t="shared" si="2"/>
        <v>5.9399999999999995</v>
      </c>
    </row>
    <row r="184" spans="1:8" x14ac:dyDescent="0.25">
      <c r="A184" s="6">
        <v>44744</v>
      </c>
      <c r="B184" s="7">
        <v>0.17898148148148149</v>
      </c>
      <c r="C184" s="7">
        <v>0.87665509259259256</v>
      </c>
      <c r="D184" s="8">
        <v>0</v>
      </c>
      <c r="E184" s="8">
        <v>13.76</v>
      </c>
      <c r="F184" s="8">
        <v>7.09</v>
      </c>
      <c r="G184" s="9">
        <v>4.32</v>
      </c>
      <c r="H184">
        <f t="shared" si="2"/>
        <v>10.989999999999998</v>
      </c>
    </row>
    <row r="185" spans="1:8" x14ac:dyDescent="0.25">
      <c r="A185" s="10">
        <v>44745</v>
      </c>
      <c r="B185" s="11">
        <v>0.17952546296296296</v>
      </c>
      <c r="C185" s="11">
        <v>0.87637731481481485</v>
      </c>
      <c r="D185" s="12">
        <v>0</v>
      </c>
      <c r="E185" s="12">
        <v>17.920000000000002</v>
      </c>
      <c r="F185" s="12">
        <v>10.28</v>
      </c>
      <c r="G185" s="13">
        <v>2.65</v>
      </c>
      <c r="H185">
        <f t="shared" si="2"/>
        <v>10.290000000000001</v>
      </c>
    </row>
    <row r="186" spans="1:8" x14ac:dyDescent="0.25">
      <c r="A186" s="6">
        <v>44746</v>
      </c>
      <c r="B186" s="7">
        <v>0.18010416666666668</v>
      </c>
      <c r="C186" s="7">
        <v>0.87605324074074076</v>
      </c>
      <c r="D186" s="8">
        <v>0</v>
      </c>
      <c r="E186" s="8">
        <v>19.89</v>
      </c>
      <c r="F186" s="8">
        <v>10.64</v>
      </c>
      <c r="G186" s="9">
        <v>1.48</v>
      </c>
      <c r="H186">
        <f t="shared" si="2"/>
        <v>10.73</v>
      </c>
    </row>
    <row r="187" spans="1:8" x14ac:dyDescent="0.25">
      <c r="A187" s="10">
        <v>44747</v>
      </c>
      <c r="B187" s="11">
        <v>0.18069444444444444</v>
      </c>
      <c r="C187" s="11">
        <v>0.87569444444444444</v>
      </c>
      <c r="D187" s="12">
        <v>0</v>
      </c>
      <c r="E187" s="12">
        <v>19.149999999999999</v>
      </c>
      <c r="F187" s="12">
        <v>11.79</v>
      </c>
      <c r="G187" s="13">
        <v>2.95</v>
      </c>
      <c r="H187">
        <f t="shared" si="2"/>
        <v>10.309999999999999</v>
      </c>
    </row>
    <row r="188" spans="1:8" x14ac:dyDescent="0.25">
      <c r="A188" s="6">
        <v>44748</v>
      </c>
      <c r="B188" s="7">
        <v>0.18133101851851852</v>
      </c>
      <c r="C188" s="7">
        <v>0.8753009259259259</v>
      </c>
      <c r="D188" s="8">
        <v>1</v>
      </c>
      <c r="E188" s="8">
        <v>14.68</v>
      </c>
      <c r="F188" s="8">
        <v>11.32</v>
      </c>
      <c r="G188" s="9">
        <v>4.26</v>
      </c>
      <c r="H188">
        <f t="shared" si="2"/>
        <v>7.6199999999999974</v>
      </c>
    </row>
    <row r="189" spans="1:8" x14ac:dyDescent="0.25">
      <c r="A189" s="10">
        <v>44749</v>
      </c>
      <c r="B189" s="11">
        <v>0.18199074074074073</v>
      </c>
      <c r="C189" s="11">
        <v>0.87487268518518524</v>
      </c>
      <c r="D189" s="12">
        <v>0</v>
      </c>
      <c r="E189" s="12">
        <v>16.95</v>
      </c>
      <c r="F189" s="12">
        <v>9.57</v>
      </c>
      <c r="G189" s="13">
        <v>3.24</v>
      </c>
      <c r="H189">
        <f t="shared" si="2"/>
        <v>10.619999999999997</v>
      </c>
    </row>
    <row r="190" spans="1:8" x14ac:dyDescent="0.25">
      <c r="A190" s="6">
        <v>44750</v>
      </c>
      <c r="B190" s="7">
        <v>0.18267361111111111</v>
      </c>
      <c r="C190" s="7">
        <v>0.87440972222222224</v>
      </c>
      <c r="D190" s="8">
        <v>1</v>
      </c>
      <c r="E190" s="8">
        <v>11.9</v>
      </c>
      <c r="F190" s="8">
        <v>7.34</v>
      </c>
      <c r="G190" s="9">
        <v>4.8099999999999996</v>
      </c>
      <c r="H190">
        <f t="shared" si="2"/>
        <v>9.370000000000001</v>
      </c>
    </row>
    <row r="191" spans="1:8" x14ac:dyDescent="0.25">
      <c r="A191" s="10">
        <v>44751</v>
      </c>
      <c r="B191" s="11">
        <v>0.18337962962962964</v>
      </c>
      <c r="C191" s="11">
        <v>0.87390046296296298</v>
      </c>
      <c r="D191" s="12">
        <v>0</v>
      </c>
      <c r="E191" s="12">
        <v>19.440000000000001</v>
      </c>
      <c r="F191" s="12">
        <v>11.14</v>
      </c>
      <c r="G191" s="13">
        <v>2.91</v>
      </c>
      <c r="H191">
        <f t="shared" si="2"/>
        <v>11.21</v>
      </c>
    </row>
    <row r="192" spans="1:8" x14ac:dyDescent="0.25">
      <c r="A192" s="6">
        <v>44752</v>
      </c>
      <c r="B192" s="7">
        <v>0.18412037037037038</v>
      </c>
      <c r="C192" s="7">
        <v>0.87336805555555552</v>
      </c>
      <c r="D192" s="8">
        <v>0</v>
      </c>
      <c r="E192" s="8">
        <v>19.54</v>
      </c>
      <c r="F192" s="8">
        <v>12.94</v>
      </c>
      <c r="G192" s="9">
        <v>3.47</v>
      </c>
      <c r="H192">
        <f t="shared" si="2"/>
        <v>10.069999999999999</v>
      </c>
    </row>
    <row r="193" spans="1:8" x14ac:dyDescent="0.25">
      <c r="A193" s="10">
        <v>44753</v>
      </c>
      <c r="B193" s="11">
        <v>0.18487268518518518</v>
      </c>
      <c r="C193" s="11">
        <v>0.87280092592592595</v>
      </c>
      <c r="D193" s="12">
        <v>0</v>
      </c>
      <c r="E193" s="12">
        <v>18.52</v>
      </c>
      <c r="F193" s="12">
        <v>12.35</v>
      </c>
      <c r="G193" s="13">
        <v>1.85</v>
      </c>
      <c r="H193">
        <f t="shared" si="2"/>
        <v>8.0200000000000014</v>
      </c>
    </row>
    <row r="194" spans="1:8" x14ac:dyDescent="0.25">
      <c r="A194" s="6">
        <v>44754</v>
      </c>
      <c r="B194" s="7">
        <v>0.18565972222222221</v>
      </c>
      <c r="C194" s="7">
        <v>0.8721875</v>
      </c>
      <c r="D194" s="8">
        <v>0</v>
      </c>
      <c r="E194" s="8">
        <v>19.77</v>
      </c>
      <c r="F194" s="8">
        <v>11.78</v>
      </c>
      <c r="G194" s="9">
        <v>1.95</v>
      </c>
      <c r="H194">
        <f t="shared" si="2"/>
        <v>9.94</v>
      </c>
    </row>
    <row r="195" spans="1:8" x14ac:dyDescent="0.25">
      <c r="A195" s="10">
        <v>44755</v>
      </c>
      <c r="B195" s="11">
        <v>0.1864699074074074</v>
      </c>
      <c r="C195" s="11">
        <v>0.87155092592592598</v>
      </c>
      <c r="D195" s="12">
        <v>0</v>
      </c>
      <c r="E195" s="12">
        <v>17.22</v>
      </c>
      <c r="F195" s="12">
        <v>9.69</v>
      </c>
      <c r="G195" s="13">
        <v>2.84</v>
      </c>
      <c r="H195">
        <f t="shared" ref="H195:H258" si="3">G195+E195-F195</f>
        <v>10.37</v>
      </c>
    </row>
    <row r="196" spans="1:8" x14ac:dyDescent="0.25">
      <c r="A196" s="6">
        <v>44756</v>
      </c>
      <c r="B196" s="7">
        <v>0.18729166666666666</v>
      </c>
      <c r="C196" s="7">
        <v>0.87087962962962961</v>
      </c>
      <c r="D196" s="8">
        <v>1</v>
      </c>
      <c r="E196" s="8">
        <v>14.02</v>
      </c>
      <c r="F196" s="8">
        <v>8.5399999999999991</v>
      </c>
      <c r="G196" s="9">
        <v>2.69</v>
      </c>
      <c r="H196">
        <f t="shared" si="3"/>
        <v>8.1700000000000017</v>
      </c>
    </row>
    <row r="197" spans="1:8" x14ac:dyDescent="0.25">
      <c r="A197" s="10">
        <v>44757</v>
      </c>
      <c r="B197" s="11">
        <v>0.18813657407407408</v>
      </c>
      <c r="C197" s="11">
        <v>0.87017361111111113</v>
      </c>
      <c r="D197" s="12">
        <v>1</v>
      </c>
      <c r="E197" s="12">
        <v>15.96</v>
      </c>
      <c r="F197" s="12">
        <v>11.95</v>
      </c>
      <c r="G197" s="13">
        <v>3.05</v>
      </c>
      <c r="H197">
        <f t="shared" si="3"/>
        <v>7.0600000000000023</v>
      </c>
    </row>
    <row r="198" spans="1:8" x14ac:dyDescent="0.25">
      <c r="A198" s="6">
        <v>44758</v>
      </c>
      <c r="B198" s="7">
        <v>0.1890162037037037</v>
      </c>
      <c r="C198" s="7">
        <v>0.86944444444444446</v>
      </c>
      <c r="D198" s="8">
        <v>1</v>
      </c>
      <c r="E198" s="8">
        <v>15.06</v>
      </c>
      <c r="F198" s="8">
        <v>7.68</v>
      </c>
      <c r="G198" s="9">
        <v>1.1599999999999999</v>
      </c>
      <c r="H198">
        <f t="shared" si="3"/>
        <v>8.5399999999999991</v>
      </c>
    </row>
    <row r="199" spans="1:8" x14ac:dyDescent="0.25">
      <c r="A199" s="10">
        <v>44759</v>
      </c>
      <c r="B199" s="11">
        <v>0.18989583333333335</v>
      </c>
      <c r="C199" s="11">
        <v>0.86868055555555557</v>
      </c>
      <c r="D199" s="12">
        <v>0</v>
      </c>
      <c r="E199" s="12">
        <v>19.62</v>
      </c>
      <c r="F199" s="12">
        <v>10.19</v>
      </c>
      <c r="G199" s="13">
        <v>0.47</v>
      </c>
      <c r="H199">
        <f t="shared" si="3"/>
        <v>9.9</v>
      </c>
    </row>
    <row r="200" spans="1:8" x14ac:dyDescent="0.25">
      <c r="A200" s="6">
        <v>44760</v>
      </c>
      <c r="B200" s="7">
        <v>0.19081018518518519</v>
      </c>
      <c r="C200" s="7">
        <v>0.86788194444444444</v>
      </c>
      <c r="D200" s="8">
        <v>0</v>
      </c>
      <c r="E200" s="8">
        <v>18.97</v>
      </c>
      <c r="F200" s="8">
        <v>8.85</v>
      </c>
      <c r="G200" s="9">
        <v>1.66</v>
      </c>
      <c r="H200">
        <f t="shared" si="3"/>
        <v>11.78</v>
      </c>
    </row>
    <row r="201" spans="1:8" x14ac:dyDescent="0.25">
      <c r="A201" s="10">
        <v>44761</v>
      </c>
      <c r="B201" s="11">
        <v>0.19172453703703704</v>
      </c>
      <c r="C201" s="11">
        <v>0.86704861111111109</v>
      </c>
      <c r="D201" s="12">
        <v>0</v>
      </c>
      <c r="E201" s="12">
        <v>17.940000000000001</v>
      </c>
      <c r="F201" s="12">
        <v>9.83</v>
      </c>
      <c r="G201" s="13">
        <v>3.13</v>
      </c>
      <c r="H201">
        <f t="shared" si="3"/>
        <v>11.24</v>
      </c>
    </row>
    <row r="202" spans="1:8" x14ac:dyDescent="0.25">
      <c r="A202" s="6">
        <v>44762</v>
      </c>
      <c r="B202" s="7">
        <v>0.19267361111111111</v>
      </c>
      <c r="C202" s="7">
        <v>0.86619212962962966</v>
      </c>
      <c r="D202" s="8">
        <v>0</v>
      </c>
      <c r="E202" s="8">
        <v>17.350000000000001</v>
      </c>
      <c r="F202" s="8">
        <v>11.02</v>
      </c>
      <c r="G202" s="9">
        <v>2.82</v>
      </c>
      <c r="H202">
        <f t="shared" si="3"/>
        <v>9.1500000000000021</v>
      </c>
    </row>
    <row r="203" spans="1:8" x14ac:dyDescent="0.25">
      <c r="A203" s="10">
        <v>44763</v>
      </c>
      <c r="B203" s="11">
        <v>0.19362268518518519</v>
      </c>
      <c r="C203" s="11">
        <v>0.86531250000000004</v>
      </c>
      <c r="D203" s="12">
        <v>0</v>
      </c>
      <c r="E203" s="12">
        <v>18.3</v>
      </c>
      <c r="F203" s="12">
        <v>10.96</v>
      </c>
      <c r="G203" s="13">
        <v>2.14</v>
      </c>
      <c r="H203">
        <f t="shared" si="3"/>
        <v>9.48</v>
      </c>
    </row>
    <row r="204" spans="1:8" x14ac:dyDescent="0.25">
      <c r="A204" s="6">
        <v>44764</v>
      </c>
      <c r="B204" s="7">
        <v>0.1945949074074074</v>
      </c>
      <c r="C204" s="7">
        <v>0.86439814814814819</v>
      </c>
      <c r="D204" s="8">
        <v>0</v>
      </c>
      <c r="E204" s="8">
        <v>17.04</v>
      </c>
      <c r="F204" s="8">
        <v>9.85</v>
      </c>
      <c r="G204" s="9">
        <v>2.2599999999999998</v>
      </c>
      <c r="H204">
        <f t="shared" si="3"/>
        <v>9.4499999999999975</v>
      </c>
    </row>
    <row r="205" spans="1:8" x14ac:dyDescent="0.25">
      <c r="A205" s="10">
        <v>44765</v>
      </c>
      <c r="B205" s="11">
        <v>0.1955787037037037</v>
      </c>
      <c r="C205" s="11">
        <v>0.86346064814814816</v>
      </c>
      <c r="D205" s="12">
        <v>0</v>
      </c>
      <c r="E205" s="12">
        <v>18.850000000000001</v>
      </c>
      <c r="F205" s="12">
        <v>11.75</v>
      </c>
      <c r="G205" s="13">
        <v>2.94</v>
      </c>
      <c r="H205">
        <f t="shared" si="3"/>
        <v>10.040000000000003</v>
      </c>
    </row>
    <row r="206" spans="1:8" x14ac:dyDescent="0.25">
      <c r="A206" s="6">
        <v>44766</v>
      </c>
      <c r="B206" s="7">
        <v>0.19658564814814813</v>
      </c>
      <c r="C206" s="7">
        <v>0.86248842592592589</v>
      </c>
      <c r="D206" s="8">
        <v>0</v>
      </c>
      <c r="E206" s="8">
        <v>16.55</v>
      </c>
      <c r="F206" s="8">
        <v>8.33</v>
      </c>
      <c r="G206" s="9">
        <v>1.56</v>
      </c>
      <c r="H206">
        <f t="shared" si="3"/>
        <v>9.7799999999999994</v>
      </c>
    </row>
    <row r="207" spans="1:8" x14ac:dyDescent="0.25">
      <c r="A207" s="10">
        <v>44767</v>
      </c>
      <c r="B207" s="11">
        <v>0.1975925925925926</v>
      </c>
      <c r="C207" s="11">
        <v>0.86149305555555555</v>
      </c>
      <c r="D207" s="12">
        <v>1</v>
      </c>
      <c r="E207" s="12">
        <v>13.83</v>
      </c>
      <c r="F207" s="12">
        <v>8.1999999999999993</v>
      </c>
      <c r="G207" s="13">
        <v>3.02</v>
      </c>
      <c r="H207">
        <f t="shared" si="3"/>
        <v>8.6500000000000021</v>
      </c>
    </row>
    <row r="208" spans="1:8" x14ac:dyDescent="0.25">
      <c r="A208" s="6">
        <v>44768</v>
      </c>
      <c r="B208" s="7">
        <v>0.19862268518518519</v>
      </c>
      <c r="C208" s="7">
        <v>0.86047453703703702</v>
      </c>
      <c r="D208" s="8">
        <v>0</v>
      </c>
      <c r="E208" s="8">
        <v>16.16</v>
      </c>
      <c r="F208" s="8">
        <v>8.9499999999999993</v>
      </c>
      <c r="G208" s="9">
        <v>2.09</v>
      </c>
      <c r="H208">
        <f t="shared" si="3"/>
        <v>9.3000000000000007</v>
      </c>
    </row>
    <row r="209" spans="1:8" x14ac:dyDescent="0.25">
      <c r="A209" s="10">
        <v>44769</v>
      </c>
      <c r="B209" s="11">
        <v>0.19965277777777779</v>
      </c>
      <c r="C209" s="11">
        <v>0.85942129629629627</v>
      </c>
      <c r="D209" s="12">
        <v>0</v>
      </c>
      <c r="E209" s="12">
        <v>17.82</v>
      </c>
      <c r="F209" s="12">
        <v>10.94</v>
      </c>
      <c r="G209" s="13">
        <v>3.66</v>
      </c>
      <c r="H209">
        <f t="shared" si="3"/>
        <v>10.540000000000001</v>
      </c>
    </row>
    <row r="210" spans="1:8" x14ac:dyDescent="0.25">
      <c r="A210" s="6">
        <v>44770</v>
      </c>
      <c r="B210" s="7">
        <v>0.20069444444444445</v>
      </c>
      <c r="C210" s="7">
        <v>0.85835648148148147</v>
      </c>
      <c r="D210" s="8">
        <v>0</v>
      </c>
      <c r="E210" s="8">
        <v>19.23</v>
      </c>
      <c r="F210" s="8">
        <v>10.19</v>
      </c>
      <c r="G210" s="9">
        <v>2.0299999999999998</v>
      </c>
      <c r="H210">
        <f t="shared" si="3"/>
        <v>11.070000000000002</v>
      </c>
    </row>
    <row r="211" spans="1:8" x14ac:dyDescent="0.25">
      <c r="A211" s="10">
        <v>44771</v>
      </c>
      <c r="B211" s="11">
        <v>0.20175925925925925</v>
      </c>
      <c r="C211" s="11">
        <v>0.85725694444444445</v>
      </c>
      <c r="D211" s="12">
        <v>0</v>
      </c>
      <c r="E211" s="12">
        <v>18.59</v>
      </c>
      <c r="F211" s="12">
        <v>10.29</v>
      </c>
      <c r="G211" s="13">
        <v>1.74</v>
      </c>
      <c r="H211">
        <f t="shared" si="3"/>
        <v>10.039999999999999</v>
      </c>
    </row>
    <row r="212" spans="1:8" x14ac:dyDescent="0.25">
      <c r="A212" s="6">
        <v>44772</v>
      </c>
      <c r="B212" s="7">
        <v>0.20282407407407407</v>
      </c>
      <c r="C212" s="7">
        <v>0.85614583333333338</v>
      </c>
      <c r="D212" s="8">
        <v>1</v>
      </c>
      <c r="E212" s="8">
        <v>14.2</v>
      </c>
      <c r="F212" s="8">
        <v>10.59</v>
      </c>
      <c r="G212" s="9">
        <v>4.04</v>
      </c>
      <c r="H212">
        <f t="shared" si="3"/>
        <v>7.6499999999999986</v>
      </c>
    </row>
    <row r="213" spans="1:8" x14ac:dyDescent="0.25">
      <c r="A213" s="10">
        <v>44773</v>
      </c>
      <c r="B213" s="11">
        <v>0.2038888888888889</v>
      </c>
      <c r="C213" s="11">
        <v>0.85499999999999998</v>
      </c>
      <c r="D213" s="12">
        <v>1</v>
      </c>
      <c r="E213" s="12">
        <v>13.79</v>
      </c>
      <c r="F213" s="12">
        <v>8.49</v>
      </c>
      <c r="G213" s="13">
        <v>2.38</v>
      </c>
      <c r="H213">
        <f t="shared" si="3"/>
        <v>7.6799999999999979</v>
      </c>
    </row>
    <row r="214" spans="1:8" x14ac:dyDescent="0.25">
      <c r="A214" s="6">
        <v>44774</v>
      </c>
      <c r="B214" s="7">
        <v>0.20497685185185185</v>
      </c>
      <c r="C214" s="7">
        <v>0.85384259259259254</v>
      </c>
      <c r="D214" s="8">
        <v>1</v>
      </c>
      <c r="E214" s="8">
        <v>15.96</v>
      </c>
      <c r="F214" s="8">
        <v>9.48</v>
      </c>
      <c r="G214" s="9">
        <v>1.78</v>
      </c>
      <c r="H214">
        <f t="shared" si="3"/>
        <v>8.2600000000000016</v>
      </c>
    </row>
    <row r="215" spans="1:8" x14ac:dyDescent="0.25">
      <c r="A215" s="10">
        <v>44775</v>
      </c>
      <c r="B215" s="11">
        <v>0.20606481481481481</v>
      </c>
      <c r="C215" s="11">
        <v>0.85266203703703702</v>
      </c>
      <c r="D215" s="12">
        <v>0</v>
      </c>
      <c r="E215" s="12">
        <v>18.86</v>
      </c>
      <c r="F215" s="12">
        <v>12.56</v>
      </c>
      <c r="G215" s="13">
        <v>4.93</v>
      </c>
      <c r="H215">
        <f t="shared" si="3"/>
        <v>11.229999999999999</v>
      </c>
    </row>
    <row r="216" spans="1:8" x14ac:dyDescent="0.25">
      <c r="A216" s="6">
        <v>44776</v>
      </c>
      <c r="B216" s="7">
        <v>0.20716435185185186</v>
      </c>
      <c r="C216" s="7">
        <v>0.85145833333333332</v>
      </c>
      <c r="D216" s="8">
        <v>0</v>
      </c>
      <c r="E216" s="8">
        <v>18.12</v>
      </c>
      <c r="F216" s="8">
        <v>9.15</v>
      </c>
      <c r="G216" s="9">
        <v>2.87</v>
      </c>
      <c r="H216">
        <f t="shared" si="3"/>
        <v>11.840000000000002</v>
      </c>
    </row>
    <row r="217" spans="1:8" x14ac:dyDescent="0.25">
      <c r="A217" s="10">
        <v>44777</v>
      </c>
      <c r="B217" s="11">
        <v>0.20826388888888889</v>
      </c>
      <c r="C217" s="11">
        <v>0.85023148148148153</v>
      </c>
      <c r="D217" s="12">
        <v>0</v>
      </c>
      <c r="E217" s="12">
        <v>19.88</v>
      </c>
      <c r="F217" s="12">
        <v>10.14</v>
      </c>
      <c r="G217" s="13">
        <v>1.94</v>
      </c>
      <c r="H217">
        <f t="shared" si="3"/>
        <v>11.68</v>
      </c>
    </row>
    <row r="218" spans="1:8" x14ac:dyDescent="0.25">
      <c r="A218" s="6">
        <v>44778</v>
      </c>
      <c r="B218" s="7">
        <v>0.20937500000000001</v>
      </c>
      <c r="C218" s="7">
        <v>0.84898148148148145</v>
      </c>
      <c r="D218" s="8">
        <v>1</v>
      </c>
      <c r="E218" s="8">
        <v>12.71</v>
      </c>
      <c r="F218" s="8">
        <v>8.08</v>
      </c>
      <c r="G218" s="9">
        <v>2.89</v>
      </c>
      <c r="H218">
        <f t="shared" si="3"/>
        <v>7.5200000000000014</v>
      </c>
    </row>
    <row r="219" spans="1:8" x14ac:dyDescent="0.25">
      <c r="A219" s="10">
        <v>44779</v>
      </c>
      <c r="B219" s="11">
        <v>0.21048611111111112</v>
      </c>
      <c r="C219" s="11">
        <v>0.84771990740740744</v>
      </c>
      <c r="D219" s="12">
        <v>1</v>
      </c>
      <c r="E219" s="12">
        <v>11.46</v>
      </c>
      <c r="F219" s="12">
        <v>7.01</v>
      </c>
      <c r="G219" s="13">
        <v>2.95</v>
      </c>
      <c r="H219">
        <f t="shared" si="3"/>
        <v>7.4</v>
      </c>
    </row>
    <row r="220" spans="1:8" x14ac:dyDescent="0.25">
      <c r="A220" s="6">
        <v>44780</v>
      </c>
      <c r="B220" s="7">
        <v>0.21159722222222221</v>
      </c>
      <c r="C220" s="7">
        <v>0.84644675925925927</v>
      </c>
      <c r="D220" s="8">
        <v>0</v>
      </c>
      <c r="E220" s="8">
        <v>18.38</v>
      </c>
      <c r="F220" s="8">
        <v>11.16</v>
      </c>
      <c r="G220" s="9">
        <v>3.69</v>
      </c>
      <c r="H220">
        <f t="shared" si="3"/>
        <v>10.91</v>
      </c>
    </row>
    <row r="221" spans="1:8" x14ac:dyDescent="0.25">
      <c r="A221" s="10">
        <v>44781</v>
      </c>
      <c r="B221" s="11">
        <v>0.2127199074074074</v>
      </c>
      <c r="C221" s="11">
        <v>0.84513888888888888</v>
      </c>
      <c r="D221" s="12">
        <v>0</v>
      </c>
      <c r="E221" s="12">
        <v>15.21</v>
      </c>
      <c r="F221" s="12">
        <v>6.71</v>
      </c>
      <c r="G221" s="13">
        <v>3.21</v>
      </c>
      <c r="H221">
        <f t="shared" si="3"/>
        <v>11.71</v>
      </c>
    </row>
    <row r="222" spans="1:8" x14ac:dyDescent="0.25">
      <c r="A222" s="6">
        <v>44782</v>
      </c>
      <c r="B222" s="7">
        <v>0.21384259259259258</v>
      </c>
      <c r="C222" s="7">
        <v>0.84381944444444446</v>
      </c>
      <c r="D222" s="8">
        <v>0</v>
      </c>
      <c r="E222" s="8">
        <v>19.329999999999998</v>
      </c>
      <c r="F222" s="8">
        <v>10.19</v>
      </c>
      <c r="G222" s="9">
        <v>1.54</v>
      </c>
      <c r="H222">
        <f t="shared" si="3"/>
        <v>10.679999999999998</v>
      </c>
    </row>
    <row r="223" spans="1:8" x14ac:dyDescent="0.25">
      <c r="A223" s="10">
        <v>44783</v>
      </c>
      <c r="B223" s="11">
        <v>0.21497685185185186</v>
      </c>
      <c r="C223" s="11">
        <v>0.84248842592592588</v>
      </c>
      <c r="D223" s="12">
        <v>0</v>
      </c>
      <c r="E223" s="12">
        <v>19.829999999999998</v>
      </c>
      <c r="F223" s="12">
        <v>12.94</v>
      </c>
      <c r="G223" s="13">
        <v>3.94</v>
      </c>
      <c r="H223">
        <f t="shared" si="3"/>
        <v>10.83</v>
      </c>
    </row>
    <row r="224" spans="1:8" x14ac:dyDescent="0.25">
      <c r="A224" s="6">
        <v>44784</v>
      </c>
      <c r="B224" s="7">
        <v>0.21611111111111111</v>
      </c>
      <c r="C224" s="7">
        <v>0.84114583333333337</v>
      </c>
      <c r="D224" s="8">
        <v>0</v>
      </c>
      <c r="E224" s="8">
        <v>15.68</v>
      </c>
      <c r="F224" s="8">
        <v>6.85</v>
      </c>
      <c r="G224" s="9">
        <v>2.4900000000000002</v>
      </c>
      <c r="H224">
        <f t="shared" si="3"/>
        <v>11.320000000000002</v>
      </c>
    </row>
    <row r="225" spans="1:8" x14ac:dyDescent="0.25">
      <c r="A225" s="10">
        <v>44785</v>
      </c>
      <c r="B225" s="11">
        <v>0.21724537037037037</v>
      </c>
      <c r="C225" s="11">
        <v>0.83978009259259256</v>
      </c>
      <c r="D225" s="12">
        <v>1</v>
      </c>
      <c r="E225" s="12">
        <v>10.43</v>
      </c>
      <c r="F225" s="12">
        <v>5.19</v>
      </c>
      <c r="G225" s="13">
        <v>2.76</v>
      </c>
      <c r="H225">
        <f t="shared" si="3"/>
        <v>7.9999999999999991</v>
      </c>
    </row>
    <row r="226" spans="1:8" x14ac:dyDescent="0.25">
      <c r="A226" s="6">
        <v>44786</v>
      </c>
      <c r="B226" s="7">
        <v>0.21837962962962962</v>
      </c>
      <c r="C226" s="7">
        <v>0.83839120370370368</v>
      </c>
      <c r="D226" s="8">
        <v>0</v>
      </c>
      <c r="E226" s="8">
        <v>17.89</v>
      </c>
      <c r="F226" s="8">
        <v>7.23</v>
      </c>
      <c r="G226" s="9">
        <v>0.49</v>
      </c>
      <c r="H226">
        <f t="shared" si="3"/>
        <v>11.149999999999999</v>
      </c>
    </row>
    <row r="227" spans="1:8" x14ac:dyDescent="0.25">
      <c r="A227" s="10">
        <v>44787</v>
      </c>
      <c r="B227" s="11">
        <v>0.21952546296296296</v>
      </c>
      <c r="C227" s="11">
        <v>0.8370023148148148</v>
      </c>
      <c r="D227" s="12">
        <v>0</v>
      </c>
      <c r="E227" s="12">
        <v>17.03</v>
      </c>
      <c r="F227" s="12">
        <v>9.32</v>
      </c>
      <c r="G227" s="13">
        <v>3.67</v>
      </c>
      <c r="H227">
        <f t="shared" si="3"/>
        <v>11.380000000000003</v>
      </c>
    </row>
    <row r="228" spans="1:8" x14ac:dyDescent="0.25">
      <c r="A228" s="6">
        <v>44788</v>
      </c>
      <c r="B228" s="7">
        <v>0.22065972222222222</v>
      </c>
      <c r="C228" s="7">
        <v>0.83559027777777772</v>
      </c>
      <c r="D228" s="8">
        <v>0</v>
      </c>
      <c r="E228" s="8">
        <v>19.920000000000002</v>
      </c>
      <c r="F228" s="8">
        <v>12.25</v>
      </c>
      <c r="G228" s="9">
        <v>1.77</v>
      </c>
      <c r="H228">
        <f t="shared" si="3"/>
        <v>9.4400000000000013</v>
      </c>
    </row>
    <row r="229" spans="1:8" x14ac:dyDescent="0.25">
      <c r="A229" s="10">
        <v>44789</v>
      </c>
      <c r="B229" s="11">
        <v>0.22180555555555556</v>
      </c>
      <c r="C229" s="11">
        <v>0.83416666666666661</v>
      </c>
      <c r="D229" s="12">
        <v>0</v>
      </c>
      <c r="E229" s="12">
        <v>16.059999999999999</v>
      </c>
      <c r="F229" s="12">
        <v>7.46</v>
      </c>
      <c r="G229" s="13">
        <v>2.1800000000000002</v>
      </c>
      <c r="H229">
        <f t="shared" si="3"/>
        <v>10.779999999999998</v>
      </c>
    </row>
    <row r="230" spans="1:8" x14ac:dyDescent="0.25">
      <c r="A230" s="6">
        <v>44790</v>
      </c>
      <c r="B230" s="7">
        <v>0.22295138888888888</v>
      </c>
      <c r="C230" s="7">
        <v>0.83273148148148146</v>
      </c>
      <c r="D230" s="8">
        <v>0</v>
      </c>
      <c r="E230" s="8">
        <v>18.84</v>
      </c>
      <c r="F230" s="8">
        <v>10.64</v>
      </c>
      <c r="G230" s="9">
        <v>3.51</v>
      </c>
      <c r="H230">
        <f t="shared" si="3"/>
        <v>11.71</v>
      </c>
    </row>
    <row r="231" spans="1:8" x14ac:dyDescent="0.25">
      <c r="A231" s="10">
        <v>44791</v>
      </c>
      <c r="B231" s="11">
        <v>0.22409722222222223</v>
      </c>
      <c r="C231" s="11">
        <v>0.83127314814814812</v>
      </c>
      <c r="D231" s="12">
        <v>0</v>
      </c>
      <c r="E231" s="12">
        <v>18.97</v>
      </c>
      <c r="F231" s="12">
        <v>10.97</v>
      </c>
      <c r="G231" s="13">
        <v>3.09</v>
      </c>
      <c r="H231">
        <f t="shared" si="3"/>
        <v>11.089999999999998</v>
      </c>
    </row>
    <row r="232" spans="1:8" x14ac:dyDescent="0.25">
      <c r="A232" s="6">
        <v>44792</v>
      </c>
      <c r="B232" s="7">
        <v>0.22524305555555554</v>
      </c>
      <c r="C232" s="7">
        <v>0.82981481481481478</v>
      </c>
      <c r="D232" s="8">
        <v>1</v>
      </c>
      <c r="E232" s="8">
        <v>11.99</v>
      </c>
      <c r="F232" s="8">
        <v>7.68</v>
      </c>
      <c r="G232" s="9">
        <v>3.68</v>
      </c>
      <c r="H232">
        <f t="shared" si="3"/>
        <v>7.99</v>
      </c>
    </row>
    <row r="233" spans="1:8" x14ac:dyDescent="0.25">
      <c r="A233" s="10">
        <v>44793</v>
      </c>
      <c r="B233" s="11">
        <v>0.22638888888888889</v>
      </c>
      <c r="C233" s="11">
        <v>0.8283449074074074</v>
      </c>
      <c r="D233" s="12">
        <v>0</v>
      </c>
      <c r="E233" s="12">
        <v>19.649999999999999</v>
      </c>
      <c r="F233" s="12">
        <v>11.94</v>
      </c>
      <c r="G233" s="13">
        <v>3.66</v>
      </c>
      <c r="H233">
        <f t="shared" si="3"/>
        <v>11.37</v>
      </c>
    </row>
    <row r="234" spans="1:8" x14ac:dyDescent="0.25">
      <c r="A234" s="6">
        <v>44794</v>
      </c>
      <c r="B234" s="7">
        <v>0.22753472222222224</v>
      </c>
      <c r="C234" s="7">
        <v>0.82685185185185184</v>
      </c>
      <c r="D234" s="8">
        <v>1</v>
      </c>
      <c r="E234" s="8">
        <v>13.19</v>
      </c>
      <c r="F234" s="8">
        <v>8.34</v>
      </c>
      <c r="G234" s="9">
        <v>2.4</v>
      </c>
      <c r="H234">
        <f t="shared" si="3"/>
        <v>7.25</v>
      </c>
    </row>
    <row r="235" spans="1:8" x14ac:dyDescent="0.25">
      <c r="A235" s="10">
        <v>44795</v>
      </c>
      <c r="B235" s="11">
        <v>0.22868055555555555</v>
      </c>
      <c r="C235" s="11">
        <v>0.82535879629629627</v>
      </c>
      <c r="D235" s="12">
        <v>1</v>
      </c>
      <c r="E235" s="12">
        <v>14.17</v>
      </c>
      <c r="F235" s="12">
        <v>9.9700000000000006</v>
      </c>
      <c r="G235" s="13">
        <v>3.16</v>
      </c>
      <c r="H235">
        <f t="shared" si="3"/>
        <v>7.3599999999999977</v>
      </c>
    </row>
    <row r="236" spans="1:8" x14ac:dyDescent="0.25">
      <c r="A236" s="6">
        <v>44796</v>
      </c>
      <c r="B236" s="7">
        <v>0.2298263888888889</v>
      </c>
      <c r="C236" s="7">
        <v>0.82385416666666667</v>
      </c>
      <c r="D236" s="8">
        <v>1</v>
      </c>
      <c r="E236" s="8">
        <v>12.08</v>
      </c>
      <c r="F236" s="8">
        <v>6.96</v>
      </c>
      <c r="G236" s="9">
        <v>2.23</v>
      </c>
      <c r="H236">
        <f t="shared" si="3"/>
        <v>7.3500000000000005</v>
      </c>
    </row>
    <row r="237" spans="1:8" x14ac:dyDescent="0.25">
      <c r="A237" s="10">
        <v>44797</v>
      </c>
      <c r="B237" s="11">
        <v>0.23097222222222222</v>
      </c>
      <c r="C237" s="11">
        <v>0.82233796296296291</v>
      </c>
      <c r="D237" s="12">
        <v>0</v>
      </c>
      <c r="E237" s="12">
        <v>18.739999999999998</v>
      </c>
      <c r="F237" s="12">
        <v>10.34</v>
      </c>
      <c r="G237" s="13">
        <v>2.92</v>
      </c>
      <c r="H237">
        <f t="shared" si="3"/>
        <v>11.319999999999997</v>
      </c>
    </row>
    <row r="238" spans="1:8" x14ac:dyDescent="0.25">
      <c r="A238" s="6">
        <v>44798</v>
      </c>
      <c r="B238" s="7">
        <v>0.23211805555555556</v>
      </c>
      <c r="C238" s="7">
        <v>0.82081018518518523</v>
      </c>
      <c r="D238" s="8">
        <v>0</v>
      </c>
      <c r="E238" s="8">
        <v>17.95</v>
      </c>
      <c r="F238" s="8">
        <v>8.23</v>
      </c>
      <c r="G238" s="9">
        <v>0.78</v>
      </c>
      <c r="H238">
        <f t="shared" si="3"/>
        <v>10.5</v>
      </c>
    </row>
    <row r="239" spans="1:8" x14ac:dyDescent="0.25">
      <c r="A239" s="10">
        <v>44799</v>
      </c>
      <c r="B239" s="11">
        <v>0.23326388888888888</v>
      </c>
      <c r="C239" s="11">
        <v>0.81927083333333328</v>
      </c>
      <c r="D239" s="12">
        <v>0</v>
      </c>
      <c r="E239" s="12">
        <v>16.829999999999998</v>
      </c>
      <c r="F239" s="12">
        <v>8.83</v>
      </c>
      <c r="G239" s="13">
        <v>3.07</v>
      </c>
      <c r="H239">
        <f t="shared" si="3"/>
        <v>11.069999999999999</v>
      </c>
    </row>
    <row r="240" spans="1:8" x14ac:dyDescent="0.25">
      <c r="A240" s="6">
        <v>44800</v>
      </c>
      <c r="B240" s="7">
        <v>0.23440972222222223</v>
      </c>
      <c r="C240" s="7">
        <v>0.81773148148148145</v>
      </c>
      <c r="D240" s="8">
        <v>0</v>
      </c>
      <c r="E240" s="8">
        <v>17.09</v>
      </c>
      <c r="F240" s="8">
        <v>8.6300000000000008</v>
      </c>
      <c r="G240" s="9">
        <v>0.64</v>
      </c>
      <c r="H240">
        <f t="shared" si="3"/>
        <v>9.1</v>
      </c>
    </row>
    <row r="241" spans="1:8" x14ac:dyDescent="0.25">
      <c r="A241" s="10">
        <v>44801</v>
      </c>
      <c r="B241" s="11">
        <v>0.23555555555555555</v>
      </c>
      <c r="C241" s="11">
        <v>0.81618055555555558</v>
      </c>
      <c r="D241" s="12">
        <v>0</v>
      </c>
      <c r="E241" s="12">
        <v>18.010000000000002</v>
      </c>
      <c r="F241" s="12">
        <v>10.67</v>
      </c>
      <c r="G241" s="13">
        <v>2.95</v>
      </c>
      <c r="H241">
        <f t="shared" si="3"/>
        <v>10.290000000000001</v>
      </c>
    </row>
    <row r="242" spans="1:8" x14ac:dyDescent="0.25">
      <c r="A242" s="6">
        <v>44802</v>
      </c>
      <c r="B242" s="7">
        <v>0.23670138888888889</v>
      </c>
      <c r="C242" s="7">
        <v>0.81461805555555555</v>
      </c>
      <c r="D242" s="8">
        <v>0</v>
      </c>
      <c r="E242" s="8">
        <v>19.48</v>
      </c>
      <c r="F242" s="8">
        <v>12.16</v>
      </c>
      <c r="G242" s="9">
        <v>3.2</v>
      </c>
      <c r="H242">
        <f t="shared" si="3"/>
        <v>10.52</v>
      </c>
    </row>
    <row r="243" spans="1:8" x14ac:dyDescent="0.25">
      <c r="A243" s="10">
        <v>44803</v>
      </c>
      <c r="B243" s="11">
        <v>0.23784722222222221</v>
      </c>
      <c r="C243" s="11">
        <v>0.81304398148148149</v>
      </c>
      <c r="D243" s="12">
        <v>0</v>
      </c>
      <c r="E243" s="12">
        <v>18.11</v>
      </c>
      <c r="F243" s="12">
        <v>11.38</v>
      </c>
      <c r="G243" s="13">
        <v>2.91</v>
      </c>
      <c r="H243">
        <f t="shared" si="3"/>
        <v>9.6399999999999988</v>
      </c>
    </row>
    <row r="244" spans="1:8" x14ac:dyDescent="0.25">
      <c r="A244" s="6">
        <v>44804</v>
      </c>
      <c r="B244" s="7">
        <v>0.23899305555555556</v>
      </c>
      <c r="C244" s="7">
        <v>0.81146990740740743</v>
      </c>
      <c r="D244" s="8">
        <v>0</v>
      </c>
      <c r="E244" s="8">
        <v>17.559999999999999</v>
      </c>
      <c r="F244" s="8">
        <v>9.49</v>
      </c>
      <c r="G244" s="9">
        <v>0.94</v>
      </c>
      <c r="H244">
        <f t="shared" si="3"/>
        <v>9.01</v>
      </c>
    </row>
    <row r="245" spans="1:8" x14ac:dyDescent="0.25">
      <c r="A245" s="10">
        <v>44805</v>
      </c>
      <c r="B245" s="11">
        <v>0.2401388888888889</v>
      </c>
      <c r="C245" s="11">
        <v>0.80989583333333337</v>
      </c>
      <c r="D245" s="12">
        <v>0</v>
      </c>
      <c r="E245" s="12">
        <v>16.809999999999999</v>
      </c>
      <c r="F245" s="12">
        <v>9.4600000000000009</v>
      </c>
      <c r="G245" s="13">
        <v>2.19</v>
      </c>
      <c r="H245">
        <f t="shared" si="3"/>
        <v>9.5399999999999991</v>
      </c>
    </row>
    <row r="246" spans="1:8" x14ac:dyDescent="0.25">
      <c r="A246" s="6">
        <v>44806</v>
      </c>
      <c r="B246" s="7">
        <v>0.24127314814814815</v>
      </c>
      <c r="C246" s="7">
        <v>0.80829861111111112</v>
      </c>
      <c r="D246" s="8">
        <v>0</v>
      </c>
      <c r="E246" s="8">
        <v>15.05</v>
      </c>
      <c r="F246" s="8">
        <v>9.31</v>
      </c>
      <c r="G246" s="9">
        <v>3.95</v>
      </c>
      <c r="H246">
        <f t="shared" si="3"/>
        <v>9.69</v>
      </c>
    </row>
    <row r="247" spans="1:8" x14ac:dyDescent="0.25">
      <c r="A247" s="10">
        <v>44807</v>
      </c>
      <c r="B247" s="11">
        <v>0.24241898148148147</v>
      </c>
      <c r="C247" s="11">
        <v>0.80671296296296291</v>
      </c>
      <c r="D247" s="12">
        <v>0</v>
      </c>
      <c r="E247" s="12">
        <v>14.3</v>
      </c>
      <c r="F247" s="12">
        <v>8.69</v>
      </c>
      <c r="G247" s="13">
        <v>4.6900000000000004</v>
      </c>
      <c r="H247">
        <f t="shared" si="3"/>
        <v>10.300000000000002</v>
      </c>
    </row>
    <row r="248" spans="1:8" x14ac:dyDescent="0.25">
      <c r="A248" s="6">
        <v>44808</v>
      </c>
      <c r="B248" s="7">
        <v>0.24356481481481482</v>
      </c>
      <c r="C248" s="7">
        <v>0.80510416666666662</v>
      </c>
      <c r="D248" s="8">
        <v>0</v>
      </c>
      <c r="E248" s="8">
        <v>19.399999999999999</v>
      </c>
      <c r="F248" s="8">
        <v>10.84</v>
      </c>
      <c r="G248" s="9">
        <v>0.84</v>
      </c>
      <c r="H248">
        <f t="shared" si="3"/>
        <v>9.3999999999999986</v>
      </c>
    </row>
    <row r="249" spans="1:8" x14ac:dyDescent="0.25">
      <c r="A249" s="10">
        <v>44809</v>
      </c>
      <c r="B249" s="11">
        <v>0.24469907407407407</v>
      </c>
      <c r="C249" s="11">
        <v>0.80350694444444448</v>
      </c>
      <c r="D249" s="12">
        <v>1</v>
      </c>
      <c r="E249" s="12">
        <v>14.15</v>
      </c>
      <c r="F249" s="12">
        <v>8.94</v>
      </c>
      <c r="G249" s="13">
        <v>3.18</v>
      </c>
      <c r="H249">
        <f t="shared" si="3"/>
        <v>8.3900000000000023</v>
      </c>
    </row>
    <row r="250" spans="1:8" x14ac:dyDescent="0.25">
      <c r="A250" s="6">
        <v>44810</v>
      </c>
      <c r="B250" s="7">
        <v>0.24584490740740741</v>
      </c>
      <c r="C250" s="7">
        <v>0.80189814814814819</v>
      </c>
      <c r="D250" s="8">
        <v>2</v>
      </c>
      <c r="E250" s="8">
        <v>10.199999999999999</v>
      </c>
      <c r="F250" s="8">
        <v>6.94</v>
      </c>
      <c r="G250" s="9">
        <v>1.89</v>
      </c>
      <c r="H250">
        <f t="shared" si="3"/>
        <v>5.1499999999999995</v>
      </c>
    </row>
    <row r="251" spans="1:8" x14ac:dyDescent="0.25">
      <c r="A251" s="10">
        <v>44811</v>
      </c>
      <c r="B251" s="11">
        <v>0.24699074074074073</v>
      </c>
      <c r="C251" s="11">
        <v>0.80027777777777775</v>
      </c>
      <c r="D251" s="12">
        <v>0</v>
      </c>
      <c r="E251" s="12">
        <v>19.149999999999999</v>
      </c>
      <c r="F251" s="12">
        <v>12.22</v>
      </c>
      <c r="G251" s="13">
        <v>2.98</v>
      </c>
      <c r="H251">
        <f t="shared" si="3"/>
        <v>9.9099999999999984</v>
      </c>
    </row>
    <row r="252" spans="1:8" x14ac:dyDescent="0.25">
      <c r="A252" s="6">
        <v>44812</v>
      </c>
      <c r="B252" s="7">
        <v>0.24812500000000001</v>
      </c>
      <c r="C252" s="7">
        <v>0.79865740740740743</v>
      </c>
      <c r="D252" s="8">
        <v>0</v>
      </c>
      <c r="E252" s="8">
        <v>16.739999999999998</v>
      </c>
      <c r="F252" s="8">
        <v>9.15</v>
      </c>
      <c r="G252" s="9">
        <v>3.48</v>
      </c>
      <c r="H252">
        <f t="shared" si="3"/>
        <v>11.069999999999999</v>
      </c>
    </row>
    <row r="253" spans="1:8" x14ac:dyDescent="0.25">
      <c r="A253" s="10">
        <v>44813</v>
      </c>
      <c r="B253" s="11">
        <v>0.24927083333333333</v>
      </c>
      <c r="C253" s="11">
        <v>0.79703703703703699</v>
      </c>
      <c r="D253" s="12">
        <v>1</v>
      </c>
      <c r="E253" s="12">
        <v>12.97</v>
      </c>
      <c r="F253" s="12">
        <v>7.63</v>
      </c>
      <c r="G253" s="13">
        <v>2.59</v>
      </c>
      <c r="H253">
        <f t="shared" si="3"/>
        <v>7.9300000000000006</v>
      </c>
    </row>
    <row r="254" spans="1:8" x14ac:dyDescent="0.25">
      <c r="A254" s="6">
        <v>44814</v>
      </c>
      <c r="B254" s="7">
        <v>0.25041666666666668</v>
      </c>
      <c r="C254" s="7">
        <v>0.79541666666666666</v>
      </c>
      <c r="D254" s="8">
        <v>0</v>
      </c>
      <c r="E254" s="8">
        <v>19.690000000000001</v>
      </c>
      <c r="F254" s="8">
        <v>11.67</v>
      </c>
      <c r="G254" s="9">
        <v>1.86</v>
      </c>
      <c r="H254">
        <f t="shared" si="3"/>
        <v>9.8800000000000008</v>
      </c>
    </row>
    <row r="255" spans="1:8" x14ac:dyDescent="0.25">
      <c r="A255" s="10">
        <v>44815</v>
      </c>
      <c r="B255" s="11">
        <v>0.25155092592592593</v>
      </c>
      <c r="C255" s="11">
        <v>0.79378472222222218</v>
      </c>
      <c r="D255" s="12">
        <v>1</v>
      </c>
      <c r="E255" s="12">
        <v>15.77</v>
      </c>
      <c r="F255" s="12">
        <v>9.66</v>
      </c>
      <c r="G255" s="13">
        <v>0.95</v>
      </c>
      <c r="H255">
        <f t="shared" si="3"/>
        <v>7.0599999999999987</v>
      </c>
    </row>
    <row r="256" spans="1:8" x14ac:dyDescent="0.25">
      <c r="A256" s="6">
        <v>44816</v>
      </c>
      <c r="B256" s="7">
        <v>0.25269675925925927</v>
      </c>
      <c r="C256" s="7">
        <v>0.79215277777777782</v>
      </c>
      <c r="D256" s="8">
        <v>1</v>
      </c>
      <c r="E256" s="8">
        <v>13.48</v>
      </c>
      <c r="F256" s="8">
        <v>8.56</v>
      </c>
      <c r="G256" s="9">
        <v>2.94</v>
      </c>
      <c r="H256">
        <f t="shared" si="3"/>
        <v>7.8600000000000012</v>
      </c>
    </row>
    <row r="257" spans="1:8" x14ac:dyDescent="0.25">
      <c r="A257" s="10">
        <v>44817</v>
      </c>
      <c r="B257" s="11">
        <v>0.25383101851851853</v>
      </c>
      <c r="C257" s="11">
        <v>0.79052083333333334</v>
      </c>
      <c r="D257" s="12">
        <v>1</v>
      </c>
      <c r="E257" s="12">
        <v>14.44</v>
      </c>
      <c r="F257" s="12">
        <v>9.48</v>
      </c>
      <c r="G257" s="13">
        <v>2.84</v>
      </c>
      <c r="H257">
        <f t="shared" si="3"/>
        <v>7.8000000000000007</v>
      </c>
    </row>
    <row r="258" spans="1:8" x14ac:dyDescent="0.25">
      <c r="A258" s="6">
        <v>44818</v>
      </c>
      <c r="B258" s="7">
        <v>0.25497685185185187</v>
      </c>
      <c r="C258" s="7">
        <v>0.78887731481481482</v>
      </c>
      <c r="D258" s="8">
        <v>0</v>
      </c>
      <c r="E258" s="8">
        <v>15.61</v>
      </c>
      <c r="F258" s="8">
        <v>8.7799999999999994</v>
      </c>
      <c r="G258" s="9">
        <v>4.95</v>
      </c>
      <c r="H258">
        <f t="shared" si="3"/>
        <v>11.78</v>
      </c>
    </row>
    <row r="259" spans="1:8" x14ac:dyDescent="0.25">
      <c r="A259" s="10">
        <v>44819</v>
      </c>
      <c r="B259" s="11">
        <v>0.25612268518518516</v>
      </c>
      <c r="C259" s="11">
        <v>0.78724537037037035</v>
      </c>
      <c r="D259" s="12">
        <v>0</v>
      </c>
      <c r="E259" s="12">
        <v>18</v>
      </c>
      <c r="F259" s="12">
        <v>9.9700000000000006</v>
      </c>
      <c r="G259" s="13">
        <v>3.65</v>
      </c>
      <c r="H259">
        <f t="shared" ref="H259:H322" si="4">G259+E259-F259</f>
        <v>11.679999999999998</v>
      </c>
    </row>
    <row r="260" spans="1:8" x14ac:dyDescent="0.25">
      <c r="A260" s="6">
        <v>44820</v>
      </c>
      <c r="B260" s="7">
        <v>0.25725694444444447</v>
      </c>
      <c r="C260" s="7">
        <v>0.78560185185185183</v>
      </c>
      <c r="D260" s="8">
        <v>3</v>
      </c>
      <c r="E260" s="8">
        <v>9.7799999999999994</v>
      </c>
      <c r="F260" s="8">
        <v>6.88</v>
      </c>
      <c r="G260" s="9">
        <v>4.9800000000000004</v>
      </c>
      <c r="H260">
        <f t="shared" si="4"/>
        <v>7.88</v>
      </c>
    </row>
    <row r="261" spans="1:8" x14ac:dyDescent="0.25">
      <c r="A261" s="10">
        <v>44821</v>
      </c>
      <c r="B261" s="11">
        <v>0.25840277777777776</v>
      </c>
      <c r="C261" s="11">
        <v>0.78396990740740746</v>
      </c>
      <c r="D261" s="12">
        <v>1</v>
      </c>
      <c r="E261" s="12">
        <v>13.43</v>
      </c>
      <c r="F261" s="12">
        <v>8.9700000000000006</v>
      </c>
      <c r="G261" s="13">
        <v>3.24</v>
      </c>
      <c r="H261">
        <f t="shared" si="4"/>
        <v>7.7000000000000011</v>
      </c>
    </row>
    <row r="262" spans="1:8" x14ac:dyDescent="0.25">
      <c r="A262" s="6">
        <v>44822</v>
      </c>
      <c r="B262" s="7">
        <v>0.2595486111111111</v>
      </c>
      <c r="C262" s="7">
        <v>0.78232638888888884</v>
      </c>
      <c r="D262" s="8">
        <v>1</v>
      </c>
      <c r="E262" s="8">
        <v>12.57</v>
      </c>
      <c r="F262" s="8">
        <v>8.44</v>
      </c>
      <c r="G262" s="9">
        <v>3.16</v>
      </c>
      <c r="H262">
        <f t="shared" si="4"/>
        <v>7.2900000000000009</v>
      </c>
    </row>
    <row r="263" spans="1:8" x14ac:dyDescent="0.25">
      <c r="A263" s="10">
        <v>44823</v>
      </c>
      <c r="B263" s="11">
        <v>0.26069444444444445</v>
      </c>
      <c r="C263" s="11">
        <v>0.78068287037037032</v>
      </c>
      <c r="D263" s="12">
        <v>2</v>
      </c>
      <c r="E263" s="12">
        <v>10.44</v>
      </c>
      <c r="F263" s="12">
        <v>7.84</v>
      </c>
      <c r="G263" s="13">
        <v>2.48</v>
      </c>
      <c r="H263">
        <f t="shared" si="4"/>
        <v>5.08</v>
      </c>
    </row>
    <row r="264" spans="1:8" x14ac:dyDescent="0.25">
      <c r="A264" s="6">
        <v>44824</v>
      </c>
      <c r="B264" s="7">
        <v>0.2618402777777778</v>
      </c>
      <c r="C264" s="7">
        <v>0.7790393518518518</v>
      </c>
      <c r="D264" s="8">
        <v>0</v>
      </c>
      <c r="E264" s="8">
        <v>14.53</v>
      </c>
      <c r="F264" s="8">
        <v>5.65</v>
      </c>
      <c r="G264" s="9">
        <v>2.94</v>
      </c>
      <c r="H264">
        <f t="shared" si="4"/>
        <v>11.819999999999999</v>
      </c>
    </row>
    <row r="265" spans="1:8" x14ac:dyDescent="0.25">
      <c r="A265" s="10">
        <v>44825</v>
      </c>
      <c r="B265" s="11">
        <v>0.26298611111111109</v>
      </c>
      <c r="C265" s="11">
        <v>0.77740740740740744</v>
      </c>
      <c r="D265" s="12">
        <v>0</v>
      </c>
      <c r="E265" s="12">
        <v>14.84</v>
      </c>
      <c r="F265" s="12">
        <v>5.95</v>
      </c>
      <c r="G265" s="13">
        <v>1.9</v>
      </c>
      <c r="H265">
        <f t="shared" si="4"/>
        <v>10.79</v>
      </c>
    </row>
    <row r="266" spans="1:8" x14ac:dyDescent="0.25">
      <c r="A266" s="6">
        <v>44826</v>
      </c>
      <c r="B266" s="7">
        <v>0.26414351851851853</v>
      </c>
      <c r="C266" s="7">
        <v>0.77576388888888892</v>
      </c>
      <c r="D266" s="8">
        <v>0</v>
      </c>
      <c r="E266" s="8">
        <v>16.510000000000002</v>
      </c>
      <c r="F266" s="8">
        <v>7.84</v>
      </c>
      <c r="G266" s="9">
        <v>0.84</v>
      </c>
      <c r="H266">
        <f t="shared" si="4"/>
        <v>9.5100000000000016</v>
      </c>
    </row>
    <row r="267" spans="1:8" x14ac:dyDescent="0.25">
      <c r="A267" s="10">
        <v>44827</v>
      </c>
      <c r="B267" s="11">
        <v>0.26528935185185187</v>
      </c>
      <c r="C267" s="11">
        <v>0.7741203703703704</v>
      </c>
      <c r="D267" s="12">
        <v>0</v>
      </c>
      <c r="E267" s="12">
        <v>12.03</v>
      </c>
      <c r="F267" s="12">
        <v>6.37</v>
      </c>
      <c r="G267" s="13">
        <v>5.4</v>
      </c>
      <c r="H267">
        <f t="shared" si="4"/>
        <v>11.059999999999999</v>
      </c>
    </row>
    <row r="268" spans="1:8" x14ac:dyDescent="0.25">
      <c r="A268" s="6">
        <v>44828</v>
      </c>
      <c r="B268" s="7">
        <v>0.26643518518518516</v>
      </c>
      <c r="C268" s="7">
        <v>0.77248842592592593</v>
      </c>
      <c r="D268" s="8">
        <v>0</v>
      </c>
      <c r="E268" s="8">
        <v>15.85</v>
      </c>
      <c r="F268" s="8">
        <v>6.64</v>
      </c>
      <c r="G268" s="9">
        <v>2.69</v>
      </c>
      <c r="H268">
        <f t="shared" si="4"/>
        <v>11.899999999999999</v>
      </c>
    </row>
    <row r="269" spans="1:8" x14ac:dyDescent="0.25">
      <c r="A269" s="10">
        <v>44829</v>
      </c>
      <c r="B269" s="11">
        <v>0.2675925925925926</v>
      </c>
      <c r="C269" s="11">
        <v>0.77084490740740741</v>
      </c>
      <c r="D269" s="12">
        <v>0</v>
      </c>
      <c r="E269" s="12">
        <v>18.45</v>
      </c>
      <c r="F269" s="12">
        <v>8.5399999999999991</v>
      </c>
      <c r="G269" s="13">
        <v>1.02</v>
      </c>
      <c r="H269">
        <f t="shared" si="4"/>
        <v>10.93</v>
      </c>
    </row>
    <row r="270" spans="1:8" x14ac:dyDescent="0.25">
      <c r="A270" s="6">
        <v>44830</v>
      </c>
      <c r="B270" s="7">
        <v>0.26874999999999999</v>
      </c>
      <c r="C270" s="7">
        <v>0.76921296296296293</v>
      </c>
      <c r="D270" s="8">
        <v>1</v>
      </c>
      <c r="E270" s="8">
        <v>11.93</v>
      </c>
      <c r="F270" s="8">
        <v>7.93</v>
      </c>
      <c r="G270" s="9">
        <v>3.04</v>
      </c>
      <c r="H270">
        <f t="shared" si="4"/>
        <v>7.0399999999999991</v>
      </c>
    </row>
    <row r="271" spans="1:8" x14ac:dyDescent="0.25">
      <c r="A271" s="10">
        <v>44831</v>
      </c>
      <c r="B271" s="11">
        <v>0.26990740740740743</v>
      </c>
      <c r="C271" s="11">
        <v>0.76758101851851857</v>
      </c>
      <c r="D271" s="12">
        <v>0</v>
      </c>
      <c r="E271" s="12">
        <v>13.34</v>
      </c>
      <c r="F271" s="12">
        <v>8.39</v>
      </c>
      <c r="G271" s="13">
        <v>2.84</v>
      </c>
      <c r="H271">
        <f t="shared" si="4"/>
        <v>7.7899999999999991</v>
      </c>
    </row>
    <row r="272" spans="1:8" x14ac:dyDescent="0.25">
      <c r="A272" s="6">
        <v>44832</v>
      </c>
      <c r="B272" s="7">
        <v>0.27106481481481481</v>
      </c>
      <c r="C272" s="7">
        <v>0.76596064814814813</v>
      </c>
      <c r="D272" s="8">
        <v>0</v>
      </c>
      <c r="E272" s="8">
        <v>13.66</v>
      </c>
      <c r="F272" s="8">
        <v>7.55</v>
      </c>
      <c r="G272" s="9">
        <v>2.14</v>
      </c>
      <c r="H272">
        <f t="shared" si="4"/>
        <v>8.25</v>
      </c>
    </row>
    <row r="273" spans="1:8" x14ac:dyDescent="0.25">
      <c r="A273" s="10">
        <v>44833</v>
      </c>
      <c r="B273" s="11">
        <v>0.27223379629629629</v>
      </c>
      <c r="C273" s="11">
        <v>0.76432870370370365</v>
      </c>
      <c r="D273" s="12">
        <v>2</v>
      </c>
      <c r="E273" s="12">
        <v>9.33</v>
      </c>
      <c r="F273" s="12">
        <v>5.86</v>
      </c>
      <c r="G273" s="13">
        <v>2.19</v>
      </c>
      <c r="H273">
        <f t="shared" si="4"/>
        <v>5.6599999999999993</v>
      </c>
    </row>
    <row r="274" spans="1:8" x14ac:dyDescent="0.25">
      <c r="A274" s="6">
        <v>44834</v>
      </c>
      <c r="B274" s="7">
        <v>0.27339120370370368</v>
      </c>
      <c r="C274" s="7">
        <v>0.76270833333333332</v>
      </c>
      <c r="D274" s="8">
        <v>0</v>
      </c>
      <c r="E274" s="8">
        <v>12.98</v>
      </c>
      <c r="F274" s="8">
        <v>6.32</v>
      </c>
      <c r="G274" s="9">
        <v>3.02</v>
      </c>
      <c r="H274">
        <f t="shared" si="4"/>
        <v>9.68</v>
      </c>
    </row>
    <row r="275" spans="1:8" x14ac:dyDescent="0.25">
      <c r="A275" s="10">
        <v>44835</v>
      </c>
      <c r="B275" s="11">
        <v>0.27456018518518521</v>
      </c>
      <c r="C275" s="11">
        <v>0.76108796296296299</v>
      </c>
      <c r="D275" s="12">
        <v>3</v>
      </c>
      <c r="E275" s="12">
        <v>6.6</v>
      </c>
      <c r="F275" s="12">
        <v>5.68</v>
      </c>
      <c r="G275" s="13">
        <v>4.16</v>
      </c>
      <c r="H275">
        <f t="shared" si="4"/>
        <v>5.08</v>
      </c>
    </row>
    <row r="276" spans="1:8" x14ac:dyDescent="0.25">
      <c r="A276" s="6">
        <v>44836</v>
      </c>
      <c r="B276" s="7">
        <v>0.27572916666666669</v>
      </c>
      <c r="C276" s="7">
        <v>0.75947916666666671</v>
      </c>
      <c r="D276" s="8">
        <v>2</v>
      </c>
      <c r="E276" s="8">
        <v>8.07</v>
      </c>
      <c r="F276" s="8">
        <v>6.79</v>
      </c>
      <c r="G276" s="9">
        <v>5.03</v>
      </c>
      <c r="H276">
        <f t="shared" si="4"/>
        <v>6.3100000000000014</v>
      </c>
    </row>
    <row r="277" spans="1:8" x14ac:dyDescent="0.25">
      <c r="A277" s="10">
        <v>44837</v>
      </c>
      <c r="B277" s="11">
        <v>0.27689814814814817</v>
      </c>
      <c r="C277" s="11">
        <v>0.75787037037037042</v>
      </c>
      <c r="D277" s="12">
        <v>4</v>
      </c>
      <c r="E277" s="12">
        <v>4.42</v>
      </c>
      <c r="F277" s="12">
        <v>3.32</v>
      </c>
      <c r="G277" s="13">
        <v>3.56</v>
      </c>
      <c r="H277">
        <f t="shared" si="4"/>
        <v>4.66</v>
      </c>
    </row>
    <row r="278" spans="1:8" x14ac:dyDescent="0.25">
      <c r="A278" s="6">
        <v>44838</v>
      </c>
      <c r="B278" s="7">
        <v>0.27807870370370369</v>
      </c>
      <c r="C278" s="7">
        <v>0.75626157407407413</v>
      </c>
      <c r="D278" s="8">
        <v>4</v>
      </c>
      <c r="E278" s="8">
        <v>4.3899999999999997</v>
      </c>
      <c r="F278" s="8">
        <v>1.26</v>
      </c>
      <c r="G278" s="9">
        <v>1.19</v>
      </c>
      <c r="H278">
        <f t="shared" si="4"/>
        <v>4.32</v>
      </c>
    </row>
    <row r="279" spans="1:8" x14ac:dyDescent="0.25">
      <c r="A279" s="10">
        <v>44839</v>
      </c>
      <c r="B279" s="11">
        <v>0.27925925925925926</v>
      </c>
      <c r="C279" s="11">
        <v>0.75466435185185188</v>
      </c>
      <c r="D279" s="12">
        <v>4</v>
      </c>
      <c r="E279" s="12">
        <v>5.07</v>
      </c>
      <c r="F279" s="12">
        <v>2.68</v>
      </c>
      <c r="G279" s="13">
        <v>2.14</v>
      </c>
      <c r="H279">
        <f t="shared" si="4"/>
        <v>4.5300000000000011</v>
      </c>
    </row>
    <row r="280" spans="1:8" x14ac:dyDescent="0.25">
      <c r="A280" s="6">
        <v>44840</v>
      </c>
      <c r="B280" s="7">
        <v>0.28043981481481484</v>
      </c>
      <c r="C280" s="7">
        <v>0.75306712962962963</v>
      </c>
      <c r="D280" s="8">
        <v>4</v>
      </c>
      <c r="E280" s="8">
        <v>5.66</v>
      </c>
      <c r="F280" s="8">
        <v>3.96</v>
      </c>
      <c r="G280" s="9">
        <v>2.1800000000000002</v>
      </c>
      <c r="H280">
        <f t="shared" si="4"/>
        <v>3.88</v>
      </c>
    </row>
    <row r="281" spans="1:8" x14ac:dyDescent="0.25">
      <c r="A281" s="10">
        <v>44841</v>
      </c>
      <c r="B281" s="11">
        <v>0.28162037037037035</v>
      </c>
      <c r="C281" s="11">
        <v>0.75148148148148153</v>
      </c>
      <c r="D281" s="12">
        <v>4</v>
      </c>
      <c r="E281" s="12">
        <v>5.19</v>
      </c>
      <c r="F281" s="12">
        <v>3.12</v>
      </c>
      <c r="G281" s="13">
        <v>4.0599999999999996</v>
      </c>
      <c r="H281">
        <f t="shared" si="4"/>
        <v>6.13</v>
      </c>
    </row>
    <row r="282" spans="1:8" x14ac:dyDescent="0.25">
      <c r="A282" s="6">
        <v>44842</v>
      </c>
      <c r="B282" s="7">
        <v>0.28281250000000002</v>
      </c>
      <c r="C282" s="7">
        <v>0.74989583333333332</v>
      </c>
      <c r="D282" s="8">
        <v>7</v>
      </c>
      <c r="E282" s="8">
        <v>3.5</v>
      </c>
      <c r="F282" s="8">
        <v>1.65</v>
      </c>
      <c r="G282" s="9">
        <v>4.26</v>
      </c>
      <c r="H282">
        <f t="shared" si="4"/>
        <v>6.1099999999999994</v>
      </c>
    </row>
    <row r="283" spans="1:8" x14ac:dyDescent="0.25">
      <c r="A283" s="10">
        <v>44843</v>
      </c>
      <c r="B283" s="11">
        <v>0.28399305555555554</v>
      </c>
      <c r="C283" s="11">
        <v>0.74832175925925926</v>
      </c>
      <c r="D283" s="12">
        <v>1</v>
      </c>
      <c r="E283" s="12">
        <v>9.49</v>
      </c>
      <c r="F283" s="12">
        <v>4.95</v>
      </c>
      <c r="G283" s="13">
        <v>2.89</v>
      </c>
      <c r="H283">
        <f t="shared" si="4"/>
        <v>7.4300000000000006</v>
      </c>
    </row>
    <row r="284" spans="1:8" x14ac:dyDescent="0.25">
      <c r="A284" s="6">
        <v>44844</v>
      </c>
      <c r="B284" s="7">
        <v>0.28519675925925925</v>
      </c>
      <c r="C284" s="7">
        <v>0.74675925925925923</v>
      </c>
      <c r="D284" s="8">
        <v>3</v>
      </c>
      <c r="E284" s="8">
        <v>6.48</v>
      </c>
      <c r="F284" s="8">
        <v>4.8499999999999996</v>
      </c>
      <c r="G284" s="9">
        <v>3.41</v>
      </c>
      <c r="H284">
        <f t="shared" si="4"/>
        <v>5.0400000000000009</v>
      </c>
    </row>
    <row r="285" spans="1:8" x14ac:dyDescent="0.25">
      <c r="A285" s="10">
        <v>44845</v>
      </c>
      <c r="B285" s="11">
        <v>0.28638888888888892</v>
      </c>
      <c r="C285" s="11">
        <v>0.74519675925925921</v>
      </c>
      <c r="D285" s="12">
        <v>3</v>
      </c>
      <c r="E285" s="12">
        <v>5.86</v>
      </c>
      <c r="F285" s="12">
        <v>4.97</v>
      </c>
      <c r="G285" s="13">
        <v>4.0199999999999996</v>
      </c>
      <c r="H285">
        <f t="shared" si="4"/>
        <v>4.9099999999999993</v>
      </c>
    </row>
    <row r="286" spans="1:8" x14ac:dyDescent="0.25">
      <c r="A286" s="6">
        <v>44846</v>
      </c>
      <c r="B286" s="7">
        <v>0.28759259259259257</v>
      </c>
      <c r="C286" s="7">
        <v>0.74364583333333334</v>
      </c>
      <c r="D286" s="8">
        <v>3</v>
      </c>
      <c r="E286" s="8">
        <v>5.92</v>
      </c>
      <c r="F286" s="8">
        <v>4.3600000000000003</v>
      </c>
      <c r="G286" s="9">
        <v>2.68</v>
      </c>
      <c r="H286">
        <f t="shared" si="4"/>
        <v>4.2399999999999993</v>
      </c>
    </row>
    <row r="287" spans="1:8" x14ac:dyDescent="0.25">
      <c r="A287" s="10">
        <v>44847</v>
      </c>
      <c r="B287" s="11">
        <v>0.28879629629629627</v>
      </c>
      <c r="C287" s="11">
        <v>0.74209490740740736</v>
      </c>
      <c r="D287" s="12">
        <v>5</v>
      </c>
      <c r="E287" s="12">
        <v>3.69</v>
      </c>
      <c r="F287" s="12">
        <v>1.58</v>
      </c>
      <c r="G287" s="13">
        <v>2.4300000000000002</v>
      </c>
      <c r="H287">
        <f t="shared" si="4"/>
        <v>4.54</v>
      </c>
    </row>
    <row r="288" spans="1:8" x14ac:dyDescent="0.25">
      <c r="A288" s="6">
        <v>44848</v>
      </c>
      <c r="B288" s="7">
        <v>0.28999999999999998</v>
      </c>
      <c r="C288" s="7">
        <v>0.74056712962962967</v>
      </c>
      <c r="D288" s="8">
        <v>1</v>
      </c>
      <c r="E288" s="8">
        <v>8.8800000000000008</v>
      </c>
      <c r="F288" s="8">
        <v>3.95</v>
      </c>
      <c r="G288" s="9">
        <v>2.44</v>
      </c>
      <c r="H288">
        <f t="shared" si="4"/>
        <v>7.37</v>
      </c>
    </row>
    <row r="289" spans="1:8" x14ac:dyDescent="0.25">
      <c r="A289" s="10">
        <v>44849</v>
      </c>
      <c r="B289" s="11">
        <v>0.29121527777777778</v>
      </c>
      <c r="C289" s="11">
        <v>0.73903935185185188</v>
      </c>
      <c r="D289" s="12">
        <v>1</v>
      </c>
      <c r="E289" s="12">
        <v>8.56</v>
      </c>
      <c r="F289" s="12">
        <v>2.86</v>
      </c>
      <c r="G289" s="13">
        <v>1.61</v>
      </c>
      <c r="H289">
        <f t="shared" si="4"/>
        <v>7.3100000000000005</v>
      </c>
    </row>
    <row r="290" spans="1:8" x14ac:dyDescent="0.25">
      <c r="A290" s="6">
        <v>44850</v>
      </c>
      <c r="B290" s="7">
        <v>0.29243055555555558</v>
      </c>
      <c r="C290" s="7">
        <v>0.73752314814814812</v>
      </c>
      <c r="D290" s="8">
        <v>0</v>
      </c>
      <c r="E290" s="8">
        <v>14.7</v>
      </c>
      <c r="F290" s="8">
        <v>5.42</v>
      </c>
      <c r="G290" s="9">
        <v>2.48</v>
      </c>
      <c r="H290">
        <f t="shared" si="4"/>
        <v>11.76</v>
      </c>
    </row>
    <row r="291" spans="1:8" x14ac:dyDescent="0.25">
      <c r="A291" s="10">
        <v>44851</v>
      </c>
      <c r="B291" s="11">
        <v>0.29364583333333333</v>
      </c>
      <c r="C291" s="11">
        <v>0.73601851851851852</v>
      </c>
      <c r="D291" s="12">
        <v>1</v>
      </c>
      <c r="E291" s="12">
        <v>11.59</v>
      </c>
      <c r="F291" s="12">
        <v>6.72</v>
      </c>
      <c r="G291" s="13">
        <v>2.4700000000000002</v>
      </c>
      <c r="H291">
        <f t="shared" si="4"/>
        <v>7.3400000000000007</v>
      </c>
    </row>
    <row r="292" spans="1:8" x14ac:dyDescent="0.25">
      <c r="A292" s="6">
        <v>44852</v>
      </c>
      <c r="B292" s="7">
        <v>0.29486111111111113</v>
      </c>
      <c r="C292" s="7">
        <v>0.73451388888888891</v>
      </c>
      <c r="D292" s="8">
        <v>6</v>
      </c>
      <c r="E292" s="8">
        <v>3.26</v>
      </c>
      <c r="F292" s="8">
        <v>1.96</v>
      </c>
      <c r="G292" s="9">
        <v>3.14</v>
      </c>
      <c r="H292">
        <f t="shared" si="4"/>
        <v>4.4400000000000004</v>
      </c>
    </row>
    <row r="293" spans="1:8" x14ac:dyDescent="0.25">
      <c r="A293" s="10">
        <v>44853</v>
      </c>
      <c r="B293" s="11">
        <v>0.29608796296296297</v>
      </c>
      <c r="C293" s="11">
        <v>0.73303240740740738</v>
      </c>
      <c r="D293" s="12">
        <v>4</v>
      </c>
      <c r="E293" s="12">
        <v>4.9000000000000004</v>
      </c>
      <c r="F293" s="12">
        <v>1.87</v>
      </c>
      <c r="G293" s="13">
        <v>3.61</v>
      </c>
      <c r="H293">
        <f t="shared" si="4"/>
        <v>6.64</v>
      </c>
    </row>
    <row r="294" spans="1:8" x14ac:dyDescent="0.25">
      <c r="A294" s="6">
        <v>44854</v>
      </c>
      <c r="B294" s="7">
        <v>0.29731481481481481</v>
      </c>
      <c r="C294" s="7">
        <v>0.7315625</v>
      </c>
      <c r="D294" s="8">
        <v>1</v>
      </c>
      <c r="E294" s="8">
        <v>9.3800000000000008</v>
      </c>
      <c r="F294" s="8">
        <v>5.46</v>
      </c>
      <c r="G294" s="9">
        <v>3.45</v>
      </c>
      <c r="H294">
        <f t="shared" si="4"/>
        <v>7.3700000000000019</v>
      </c>
    </row>
    <row r="295" spans="1:8" x14ac:dyDescent="0.25">
      <c r="A295" s="10">
        <v>44855</v>
      </c>
      <c r="B295" s="11">
        <v>0.29855324074074074</v>
      </c>
      <c r="C295" s="11">
        <v>0.73009259259259263</v>
      </c>
      <c r="D295" s="12">
        <v>3</v>
      </c>
      <c r="E295" s="12">
        <v>5.29</v>
      </c>
      <c r="F295" s="12">
        <v>3.94</v>
      </c>
      <c r="G295" s="13">
        <v>3.48</v>
      </c>
      <c r="H295">
        <f t="shared" si="4"/>
        <v>4.83</v>
      </c>
    </row>
    <row r="296" spans="1:8" x14ac:dyDescent="0.25">
      <c r="A296" s="6">
        <v>44856</v>
      </c>
      <c r="B296" s="7">
        <v>0.29978009259259258</v>
      </c>
      <c r="C296" s="7">
        <v>0.72864583333333333</v>
      </c>
      <c r="D296" s="8">
        <v>0</v>
      </c>
      <c r="E296" s="8">
        <v>13.23</v>
      </c>
      <c r="F296" s="8">
        <v>6.74</v>
      </c>
      <c r="G296" s="9">
        <v>2.69</v>
      </c>
      <c r="H296">
        <f t="shared" si="4"/>
        <v>9.18</v>
      </c>
    </row>
    <row r="297" spans="1:8" x14ac:dyDescent="0.25">
      <c r="A297" s="10">
        <v>44857</v>
      </c>
      <c r="B297" s="11">
        <v>0.30101851851851852</v>
      </c>
      <c r="C297" s="11">
        <v>0.72721064814814818</v>
      </c>
      <c r="D297" s="12">
        <v>7</v>
      </c>
      <c r="E297" s="12">
        <v>3.97</v>
      </c>
      <c r="F297" s="12">
        <v>1.64</v>
      </c>
      <c r="G297" s="13">
        <v>4.84</v>
      </c>
      <c r="H297">
        <f t="shared" si="4"/>
        <v>7.1700000000000008</v>
      </c>
    </row>
    <row r="298" spans="1:8" x14ac:dyDescent="0.25">
      <c r="A298" s="6">
        <v>44858</v>
      </c>
      <c r="B298" s="7">
        <v>0.30225694444444445</v>
      </c>
      <c r="C298" s="7">
        <v>0.72578703703703706</v>
      </c>
      <c r="D298" s="8">
        <v>0</v>
      </c>
      <c r="E298" s="8">
        <v>12.38</v>
      </c>
      <c r="F298" s="8">
        <v>6.35</v>
      </c>
      <c r="G298" s="9">
        <v>3.66</v>
      </c>
      <c r="H298">
        <f t="shared" si="4"/>
        <v>9.69</v>
      </c>
    </row>
    <row r="299" spans="1:8" x14ac:dyDescent="0.25">
      <c r="A299" s="10">
        <v>44859</v>
      </c>
      <c r="B299" s="11">
        <v>0.30349537037037039</v>
      </c>
      <c r="C299" s="11">
        <v>0.72437499999999999</v>
      </c>
      <c r="D299" s="12">
        <v>4</v>
      </c>
      <c r="E299" s="12">
        <v>4.58</v>
      </c>
      <c r="F299" s="12">
        <v>2.5299999999999998</v>
      </c>
      <c r="G299" s="13">
        <v>4.57</v>
      </c>
      <c r="H299">
        <f t="shared" si="4"/>
        <v>6.620000000000001</v>
      </c>
    </row>
    <row r="300" spans="1:8" x14ac:dyDescent="0.25">
      <c r="A300" s="6">
        <v>44860</v>
      </c>
      <c r="B300" s="7">
        <v>0.30474537037037036</v>
      </c>
      <c r="C300" s="7">
        <v>0.72298611111111111</v>
      </c>
      <c r="D300" s="8">
        <v>6</v>
      </c>
      <c r="E300" s="8">
        <v>2.06</v>
      </c>
      <c r="F300" s="8">
        <v>1.06</v>
      </c>
      <c r="G300" s="9">
        <v>3.84</v>
      </c>
      <c r="H300">
        <f t="shared" si="4"/>
        <v>4.84</v>
      </c>
    </row>
    <row r="301" spans="1:8" x14ac:dyDescent="0.25">
      <c r="A301" s="10">
        <v>44861</v>
      </c>
      <c r="B301" s="11">
        <v>0.30599537037037039</v>
      </c>
      <c r="C301" s="11">
        <v>0.72159722222222222</v>
      </c>
      <c r="D301" s="12">
        <v>1</v>
      </c>
      <c r="E301" s="12">
        <v>8.7799999999999994</v>
      </c>
      <c r="F301" s="12">
        <v>2.09</v>
      </c>
      <c r="G301" s="13">
        <v>1.58</v>
      </c>
      <c r="H301">
        <f t="shared" si="4"/>
        <v>8.27</v>
      </c>
    </row>
    <row r="302" spans="1:8" x14ac:dyDescent="0.25">
      <c r="A302" s="6">
        <v>44862</v>
      </c>
      <c r="B302" s="7">
        <v>0.30724537037037036</v>
      </c>
      <c r="C302" s="7">
        <v>0.72023148148148153</v>
      </c>
      <c r="D302" s="8">
        <v>1</v>
      </c>
      <c r="E302" s="8">
        <v>8.06</v>
      </c>
      <c r="F302" s="8">
        <v>1.98</v>
      </c>
      <c r="G302" s="9">
        <v>1.08</v>
      </c>
      <c r="H302">
        <f t="shared" si="4"/>
        <v>7.16</v>
      </c>
    </row>
    <row r="303" spans="1:8" x14ac:dyDescent="0.25">
      <c r="A303" s="10">
        <v>44863</v>
      </c>
      <c r="B303" s="11">
        <v>0.30849537037037039</v>
      </c>
      <c r="C303" s="11">
        <v>0.71888888888888891</v>
      </c>
      <c r="D303" s="12">
        <v>4</v>
      </c>
      <c r="E303" s="12">
        <v>4.7300000000000004</v>
      </c>
      <c r="F303" s="12">
        <v>3.79</v>
      </c>
      <c r="G303" s="13">
        <v>3.08</v>
      </c>
      <c r="H303">
        <f t="shared" si="4"/>
        <v>4.0200000000000005</v>
      </c>
    </row>
    <row r="304" spans="1:8" x14ac:dyDescent="0.25">
      <c r="A304" s="6">
        <v>44864</v>
      </c>
      <c r="B304" s="7">
        <v>0.26807870370370368</v>
      </c>
      <c r="C304" s="7">
        <v>0.67587962962962966</v>
      </c>
      <c r="D304" s="8">
        <v>3</v>
      </c>
      <c r="E304" s="8">
        <v>5.33</v>
      </c>
      <c r="F304" s="8">
        <v>2.98</v>
      </c>
      <c r="G304" s="9">
        <v>3.05</v>
      </c>
      <c r="H304">
        <f t="shared" si="4"/>
        <v>5.3999999999999986</v>
      </c>
    </row>
    <row r="305" spans="1:8" x14ac:dyDescent="0.25">
      <c r="A305" s="10">
        <v>44865</v>
      </c>
      <c r="B305" s="11">
        <v>0.26932870370370371</v>
      </c>
      <c r="C305" s="11">
        <v>0.67457175925925927</v>
      </c>
      <c r="D305" s="12">
        <v>6</v>
      </c>
      <c r="E305" s="12">
        <v>2.13</v>
      </c>
      <c r="F305" s="12">
        <v>1.67</v>
      </c>
      <c r="G305" s="13">
        <v>4.21</v>
      </c>
      <c r="H305">
        <f t="shared" si="4"/>
        <v>4.67</v>
      </c>
    </row>
    <row r="306" spans="1:8" x14ac:dyDescent="0.25">
      <c r="A306" s="6">
        <v>44866</v>
      </c>
      <c r="B306" s="7">
        <v>0.27057870370370368</v>
      </c>
      <c r="C306" s="7">
        <v>0.67327546296296292</v>
      </c>
      <c r="D306" s="8">
        <v>8</v>
      </c>
      <c r="E306" s="8">
        <v>1.23</v>
      </c>
      <c r="F306" s="8">
        <v>0.56999999999999995</v>
      </c>
      <c r="G306" s="9">
        <v>5.08</v>
      </c>
      <c r="H306">
        <f t="shared" si="4"/>
        <v>5.74</v>
      </c>
    </row>
    <row r="307" spans="1:8" x14ac:dyDescent="0.25">
      <c r="A307" s="10">
        <v>44867</v>
      </c>
      <c r="B307" s="11">
        <v>0.27184027777777775</v>
      </c>
      <c r="C307" s="11">
        <v>0.67199074074074072</v>
      </c>
      <c r="D307" s="12">
        <v>3</v>
      </c>
      <c r="E307" s="12">
        <v>5.84</v>
      </c>
      <c r="F307" s="12">
        <v>4.32</v>
      </c>
      <c r="G307" s="13">
        <v>2.95</v>
      </c>
      <c r="H307">
        <f t="shared" si="4"/>
        <v>4.4699999999999989</v>
      </c>
    </row>
    <row r="308" spans="1:8" x14ac:dyDescent="0.25">
      <c r="A308" s="6">
        <v>44868</v>
      </c>
      <c r="B308" s="7">
        <v>0.27309027777777778</v>
      </c>
      <c r="C308" s="7">
        <v>0.67072916666666671</v>
      </c>
      <c r="D308" s="8">
        <v>3</v>
      </c>
      <c r="E308" s="8">
        <v>4.55</v>
      </c>
      <c r="F308" s="8">
        <v>3.94</v>
      </c>
      <c r="G308" s="9">
        <v>6.57</v>
      </c>
      <c r="H308">
        <f t="shared" si="4"/>
        <v>7.1800000000000015</v>
      </c>
    </row>
    <row r="309" spans="1:8" x14ac:dyDescent="0.25">
      <c r="A309" s="10">
        <v>44869</v>
      </c>
      <c r="B309" s="11">
        <v>0.27434027777777775</v>
      </c>
      <c r="C309" s="11">
        <v>0.66947916666666663</v>
      </c>
      <c r="D309" s="12">
        <v>3</v>
      </c>
      <c r="E309" s="12">
        <v>4.7</v>
      </c>
      <c r="F309" s="12">
        <v>3.64</v>
      </c>
      <c r="G309" s="13">
        <v>4.21</v>
      </c>
      <c r="H309">
        <f t="shared" si="4"/>
        <v>5.27</v>
      </c>
    </row>
    <row r="310" spans="1:8" x14ac:dyDescent="0.25">
      <c r="A310" s="6">
        <v>44870</v>
      </c>
      <c r="B310" s="7">
        <v>0.27560185185185188</v>
      </c>
      <c r="C310" s="7">
        <v>0.66826388888888888</v>
      </c>
      <c r="D310" s="8">
        <v>2</v>
      </c>
      <c r="E310" s="8">
        <v>5.19</v>
      </c>
      <c r="F310" s="8">
        <v>3.65</v>
      </c>
      <c r="G310" s="9">
        <v>5.32</v>
      </c>
      <c r="H310">
        <f t="shared" si="4"/>
        <v>6.8600000000000012</v>
      </c>
    </row>
    <row r="311" spans="1:8" x14ac:dyDescent="0.25">
      <c r="A311" s="10">
        <v>44871</v>
      </c>
      <c r="B311" s="11">
        <v>0.27685185185185185</v>
      </c>
      <c r="C311" s="11">
        <v>0.66706018518518517</v>
      </c>
      <c r="D311" s="12">
        <v>1</v>
      </c>
      <c r="E311" s="12">
        <v>7.75</v>
      </c>
      <c r="F311" s="12">
        <v>3.84</v>
      </c>
      <c r="G311" s="13">
        <v>3.65</v>
      </c>
      <c r="H311">
        <f t="shared" si="4"/>
        <v>7.5600000000000005</v>
      </c>
    </row>
    <row r="312" spans="1:8" x14ac:dyDescent="0.25">
      <c r="A312" s="6">
        <v>44872</v>
      </c>
      <c r="B312" s="7">
        <v>0.27810185185185188</v>
      </c>
      <c r="C312" s="7">
        <v>0.66587962962962965</v>
      </c>
      <c r="D312" s="8">
        <v>4</v>
      </c>
      <c r="E312" s="8">
        <v>4.07</v>
      </c>
      <c r="F312" s="8">
        <v>3.21</v>
      </c>
      <c r="G312" s="9">
        <v>3.48</v>
      </c>
      <c r="H312">
        <f t="shared" si="4"/>
        <v>4.3400000000000007</v>
      </c>
    </row>
    <row r="313" spans="1:8" x14ac:dyDescent="0.25">
      <c r="A313" s="10">
        <v>44873</v>
      </c>
      <c r="B313" s="11">
        <v>0.27935185185185185</v>
      </c>
      <c r="C313" s="11">
        <v>0.66471064814814818</v>
      </c>
      <c r="D313" s="12">
        <v>3</v>
      </c>
      <c r="E313" s="12">
        <v>5.63</v>
      </c>
      <c r="F313" s="12">
        <v>4.2300000000000004</v>
      </c>
      <c r="G313" s="13">
        <v>4.6100000000000003</v>
      </c>
      <c r="H313">
        <f t="shared" si="4"/>
        <v>6.01</v>
      </c>
    </row>
    <row r="314" spans="1:8" x14ac:dyDescent="0.25">
      <c r="A314" s="6">
        <v>44874</v>
      </c>
      <c r="B314" s="7">
        <v>0.28059027777777779</v>
      </c>
      <c r="C314" s="7">
        <v>0.66357638888888892</v>
      </c>
      <c r="D314" s="8">
        <v>6</v>
      </c>
      <c r="E314" s="8">
        <v>3.14</v>
      </c>
      <c r="F314" s="8">
        <v>1.65</v>
      </c>
      <c r="G314" s="9">
        <v>2.96</v>
      </c>
      <c r="H314">
        <f t="shared" si="4"/>
        <v>4.4499999999999993</v>
      </c>
    </row>
    <row r="315" spans="1:8" x14ac:dyDescent="0.25">
      <c r="A315" s="10">
        <v>44875</v>
      </c>
      <c r="B315" s="11">
        <v>0.28184027777777776</v>
      </c>
      <c r="C315" s="11">
        <v>0.66246527777777775</v>
      </c>
      <c r="D315" s="12">
        <v>0</v>
      </c>
      <c r="E315" s="12">
        <v>11.93</v>
      </c>
      <c r="F315" s="12">
        <v>6.46</v>
      </c>
      <c r="G315" s="13">
        <v>4.0599999999999996</v>
      </c>
      <c r="H315">
        <f t="shared" si="4"/>
        <v>9.5299999999999976</v>
      </c>
    </row>
    <row r="316" spans="1:8" x14ac:dyDescent="0.25">
      <c r="A316" s="6">
        <v>44876</v>
      </c>
      <c r="B316" s="7">
        <v>0.28307870370370369</v>
      </c>
      <c r="C316" s="7">
        <v>0.66136574074074073</v>
      </c>
      <c r="D316" s="8">
        <v>4</v>
      </c>
      <c r="E316" s="8">
        <v>5.15</v>
      </c>
      <c r="F316" s="8">
        <v>2.4900000000000002</v>
      </c>
      <c r="G316" s="9">
        <v>3.84</v>
      </c>
      <c r="H316">
        <f t="shared" si="4"/>
        <v>6.5</v>
      </c>
    </row>
    <row r="317" spans="1:8" x14ac:dyDescent="0.25">
      <c r="A317" s="10">
        <v>44877</v>
      </c>
      <c r="B317" s="11">
        <v>0.28430555555555553</v>
      </c>
      <c r="C317" s="11">
        <v>0.66030092592592593</v>
      </c>
      <c r="D317" s="12">
        <v>3</v>
      </c>
      <c r="E317" s="12">
        <v>4.75</v>
      </c>
      <c r="F317" s="12">
        <v>3.49</v>
      </c>
      <c r="G317" s="13">
        <v>5.09</v>
      </c>
      <c r="H317">
        <f t="shared" si="4"/>
        <v>6.35</v>
      </c>
    </row>
    <row r="318" spans="1:8" x14ac:dyDescent="0.25">
      <c r="A318" s="6">
        <v>44878</v>
      </c>
      <c r="B318" s="7">
        <v>0.28554398148148147</v>
      </c>
      <c r="C318" s="7">
        <v>0.65925925925925921</v>
      </c>
      <c r="D318" s="8">
        <v>3</v>
      </c>
      <c r="E318" s="8">
        <v>4.16</v>
      </c>
      <c r="F318" s="8">
        <v>3.02</v>
      </c>
      <c r="G318" s="9">
        <v>4.1900000000000004</v>
      </c>
      <c r="H318">
        <f t="shared" si="4"/>
        <v>5.3300000000000018</v>
      </c>
    </row>
    <row r="319" spans="1:8" x14ac:dyDescent="0.25">
      <c r="A319" s="10">
        <v>44879</v>
      </c>
      <c r="B319" s="11">
        <v>0.28675925925925927</v>
      </c>
      <c r="C319" s="11">
        <v>0.65824074074074079</v>
      </c>
      <c r="D319" s="12">
        <v>2</v>
      </c>
      <c r="E319" s="12">
        <v>5.19</v>
      </c>
      <c r="F319" s="12">
        <v>2.94</v>
      </c>
      <c r="G319" s="13">
        <v>4.9400000000000004</v>
      </c>
      <c r="H319">
        <f t="shared" si="4"/>
        <v>7.1900000000000013</v>
      </c>
    </row>
    <row r="320" spans="1:8" x14ac:dyDescent="0.25">
      <c r="A320" s="6">
        <v>44880</v>
      </c>
      <c r="B320" s="7">
        <v>0.28797453703703701</v>
      </c>
      <c r="C320" s="7">
        <v>0.65725694444444449</v>
      </c>
      <c r="D320" s="8">
        <v>8</v>
      </c>
      <c r="E320" s="8">
        <v>1.38</v>
      </c>
      <c r="F320" s="8">
        <v>0.4</v>
      </c>
      <c r="G320" s="9">
        <v>6.48</v>
      </c>
      <c r="H320">
        <f t="shared" si="4"/>
        <v>7.46</v>
      </c>
    </row>
    <row r="321" spans="1:8" x14ac:dyDescent="0.25">
      <c r="A321" s="10">
        <v>44881</v>
      </c>
      <c r="B321" s="11">
        <v>0.28918981481481482</v>
      </c>
      <c r="C321" s="11">
        <v>0.65628472222222223</v>
      </c>
      <c r="D321" s="12">
        <v>8</v>
      </c>
      <c r="E321" s="12">
        <v>1.53</v>
      </c>
      <c r="F321" s="12">
        <v>0.23</v>
      </c>
      <c r="G321" s="13">
        <v>3.95</v>
      </c>
      <c r="H321">
        <f t="shared" si="4"/>
        <v>5.25</v>
      </c>
    </row>
    <row r="322" spans="1:8" x14ac:dyDescent="0.25">
      <c r="A322" s="6">
        <v>44882</v>
      </c>
      <c r="B322" s="7">
        <v>0.29038194444444443</v>
      </c>
      <c r="C322" s="7">
        <v>0.65534722222222219</v>
      </c>
      <c r="D322" s="8">
        <v>2</v>
      </c>
      <c r="E322" s="8">
        <v>4.1900000000000004</v>
      </c>
      <c r="F322" s="8">
        <v>1.92</v>
      </c>
      <c r="G322" s="9">
        <v>3.24</v>
      </c>
      <c r="H322">
        <f t="shared" si="4"/>
        <v>5.5100000000000007</v>
      </c>
    </row>
    <row r="323" spans="1:8" x14ac:dyDescent="0.25">
      <c r="A323" s="10">
        <v>44883</v>
      </c>
      <c r="B323" s="11">
        <v>0.2915740740740741</v>
      </c>
      <c r="C323" s="11">
        <v>0.6544444444444445</v>
      </c>
      <c r="D323" s="12">
        <v>5</v>
      </c>
      <c r="E323" s="12">
        <v>3.63</v>
      </c>
      <c r="F323" s="12">
        <v>1.48</v>
      </c>
      <c r="G323" s="13">
        <v>2.96</v>
      </c>
      <c r="H323">
        <f t="shared" ref="H323:H366" si="5">G323+E323-F323</f>
        <v>5.1099999999999994</v>
      </c>
    </row>
    <row r="324" spans="1:8" x14ac:dyDescent="0.25">
      <c r="A324" s="6">
        <v>44884</v>
      </c>
      <c r="B324" s="7">
        <v>0.29276620370370371</v>
      </c>
      <c r="C324" s="7">
        <v>0.65356481481481477</v>
      </c>
      <c r="D324" s="8">
        <v>5</v>
      </c>
      <c r="E324" s="8">
        <v>3.6</v>
      </c>
      <c r="F324" s="8">
        <v>2.06</v>
      </c>
      <c r="G324" s="9">
        <v>2.72</v>
      </c>
      <c r="H324">
        <f t="shared" si="5"/>
        <v>4.26</v>
      </c>
    </row>
    <row r="325" spans="1:8" x14ac:dyDescent="0.25">
      <c r="A325" s="10">
        <v>44885</v>
      </c>
      <c r="B325" s="11">
        <v>0.29393518518518519</v>
      </c>
      <c r="C325" s="11">
        <v>0.65270833333333333</v>
      </c>
      <c r="D325" s="12">
        <v>2</v>
      </c>
      <c r="E325" s="12">
        <v>6.14</v>
      </c>
      <c r="F325" s="12">
        <v>5.07</v>
      </c>
      <c r="G325" s="13">
        <v>3.94</v>
      </c>
      <c r="H325">
        <f t="shared" si="5"/>
        <v>5.01</v>
      </c>
    </row>
    <row r="326" spans="1:8" x14ac:dyDescent="0.25">
      <c r="A326" s="6">
        <v>44886</v>
      </c>
      <c r="B326" s="7">
        <v>0.29509259259259257</v>
      </c>
      <c r="C326" s="7">
        <v>0.65188657407407402</v>
      </c>
      <c r="D326" s="8">
        <v>5</v>
      </c>
      <c r="E326" s="8">
        <v>3.16</v>
      </c>
      <c r="F326" s="8">
        <v>2.11</v>
      </c>
      <c r="G326" s="9">
        <v>4.08</v>
      </c>
      <c r="H326">
        <f t="shared" si="5"/>
        <v>5.1300000000000008</v>
      </c>
    </row>
    <row r="327" spans="1:8" x14ac:dyDescent="0.25">
      <c r="A327" s="10">
        <v>44887</v>
      </c>
      <c r="B327" s="11">
        <v>0.29623842592592592</v>
      </c>
      <c r="C327" s="11">
        <v>0.65109953703703705</v>
      </c>
      <c r="D327" s="12">
        <v>4</v>
      </c>
      <c r="E327" s="12">
        <v>4.0999999999999996</v>
      </c>
      <c r="F327" s="12">
        <v>3.41</v>
      </c>
      <c r="G327" s="13">
        <v>4.6100000000000003</v>
      </c>
      <c r="H327">
        <f t="shared" si="5"/>
        <v>5.3000000000000007</v>
      </c>
    </row>
    <row r="328" spans="1:8" x14ac:dyDescent="0.25">
      <c r="A328" s="6">
        <v>44888</v>
      </c>
      <c r="B328" s="7">
        <v>0.29737268518518517</v>
      </c>
      <c r="C328" s="7">
        <v>0.65034722222222219</v>
      </c>
      <c r="D328" s="8">
        <v>7</v>
      </c>
      <c r="E328" s="8">
        <v>2.91</v>
      </c>
      <c r="F328" s="8">
        <v>1.06</v>
      </c>
      <c r="G328" s="9">
        <v>5.07</v>
      </c>
      <c r="H328">
        <f t="shared" si="5"/>
        <v>6.92</v>
      </c>
    </row>
    <row r="329" spans="1:8" x14ac:dyDescent="0.25">
      <c r="A329" s="10">
        <v>44889</v>
      </c>
      <c r="B329" s="11">
        <v>0.29849537037037038</v>
      </c>
      <c r="C329" s="11">
        <v>0.64961805555555552</v>
      </c>
      <c r="D329" s="12">
        <v>6</v>
      </c>
      <c r="E329" s="12">
        <v>3.18</v>
      </c>
      <c r="F329" s="12">
        <v>1.37</v>
      </c>
      <c r="G329" s="13">
        <v>4.16</v>
      </c>
      <c r="H329">
        <f t="shared" si="5"/>
        <v>5.97</v>
      </c>
    </row>
    <row r="330" spans="1:8" x14ac:dyDescent="0.25">
      <c r="A330" s="6">
        <v>44890</v>
      </c>
      <c r="B330" s="7">
        <v>0.2996064814814815</v>
      </c>
      <c r="C330" s="7">
        <v>0.64892361111111108</v>
      </c>
      <c r="D330" s="8">
        <v>7</v>
      </c>
      <c r="E330" s="8">
        <v>2.52</v>
      </c>
      <c r="F330" s="8">
        <v>1.46</v>
      </c>
      <c r="G330" s="9">
        <v>5.24</v>
      </c>
      <c r="H330">
        <f t="shared" si="5"/>
        <v>6.3</v>
      </c>
    </row>
    <row r="331" spans="1:8" x14ac:dyDescent="0.25">
      <c r="A331" s="10">
        <v>44891</v>
      </c>
      <c r="B331" s="11">
        <v>0.30069444444444443</v>
      </c>
      <c r="C331" s="11">
        <v>0.64826388888888886</v>
      </c>
      <c r="D331" s="12">
        <v>6</v>
      </c>
      <c r="E331" s="12">
        <v>3.85</v>
      </c>
      <c r="F331" s="12">
        <v>1.1599999999999999</v>
      </c>
      <c r="G331" s="13">
        <v>6.08</v>
      </c>
      <c r="H331">
        <f t="shared" si="5"/>
        <v>8.77</v>
      </c>
    </row>
    <row r="332" spans="1:8" x14ac:dyDescent="0.25">
      <c r="A332" s="6">
        <v>44892</v>
      </c>
      <c r="B332" s="7">
        <v>0.30177083333333332</v>
      </c>
      <c r="C332" s="7">
        <v>0.64763888888888888</v>
      </c>
      <c r="D332" s="8">
        <v>8</v>
      </c>
      <c r="E332" s="8">
        <v>1.84</v>
      </c>
      <c r="F332" s="8">
        <v>0.47</v>
      </c>
      <c r="G332" s="9">
        <v>4.66</v>
      </c>
      <c r="H332">
        <f t="shared" si="5"/>
        <v>6.03</v>
      </c>
    </row>
    <row r="333" spans="1:8" x14ac:dyDescent="0.25">
      <c r="A333" s="10">
        <v>44893</v>
      </c>
      <c r="B333" s="11">
        <v>0.30282407407407408</v>
      </c>
      <c r="C333" s="11">
        <v>0.64704861111111112</v>
      </c>
      <c r="D333" s="12">
        <v>8</v>
      </c>
      <c r="E333" s="12">
        <v>1.59</v>
      </c>
      <c r="F333" s="12">
        <v>0.42</v>
      </c>
      <c r="G333" s="13">
        <v>4.9800000000000004</v>
      </c>
      <c r="H333">
        <f t="shared" si="5"/>
        <v>6.15</v>
      </c>
    </row>
    <row r="334" spans="1:8" x14ac:dyDescent="0.25">
      <c r="A334" s="6">
        <v>44894</v>
      </c>
      <c r="B334" s="7">
        <v>0.30385416666666665</v>
      </c>
      <c r="C334" s="7">
        <v>0.64649305555555558</v>
      </c>
      <c r="D334" s="8">
        <v>8</v>
      </c>
      <c r="E334" s="8">
        <v>1.34</v>
      </c>
      <c r="F334" s="8">
        <v>0.27</v>
      </c>
      <c r="G334" s="9">
        <v>3.95</v>
      </c>
      <c r="H334">
        <f t="shared" si="5"/>
        <v>5.0199999999999996</v>
      </c>
    </row>
    <row r="335" spans="1:8" x14ac:dyDescent="0.25">
      <c r="A335" s="10">
        <v>44895</v>
      </c>
      <c r="B335" s="11">
        <v>0.30487268518518518</v>
      </c>
      <c r="C335" s="11">
        <v>0.64597222222222217</v>
      </c>
      <c r="D335" s="12">
        <v>8</v>
      </c>
      <c r="E335" s="12">
        <v>1.1399999999999999</v>
      </c>
      <c r="F335" s="12">
        <v>0</v>
      </c>
      <c r="G335" s="13">
        <v>7.02</v>
      </c>
      <c r="H335">
        <f t="shared" si="5"/>
        <v>8.16</v>
      </c>
    </row>
    <row r="336" spans="1:8" x14ac:dyDescent="0.25">
      <c r="A336" s="6">
        <v>44896</v>
      </c>
      <c r="B336" s="7">
        <v>0.30586805555555557</v>
      </c>
      <c r="C336" s="7">
        <v>0.64549768518518513</v>
      </c>
      <c r="D336" s="8">
        <v>7</v>
      </c>
      <c r="E336" s="8">
        <v>2.4900000000000002</v>
      </c>
      <c r="F336" s="8">
        <v>1.06</v>
      </c>
      <c r="G336" s="9">
        <v>6.09</v>
      </c>
      <c r="H336">
        <f t="shared" si="5"/>
        <v>7.52</v>
      </c>
    </row>
    <row r="337" spans="1:8" x14ac:dyDescent="0.25">
      <c r="A337" s="10">
        <v>44897</v>
      </c>
      <c r="B337" s="11">
        <v>0.30684027777777778</v>
      </c>
      <c r="C337" s="11">
        <v>0.64504629629629628</v>
      </c>
      <c r="D337" s="12">
        <v>6</v>
      </c>
      <c r="E337" s="12">
        <v>2.37</v>
      </c>
      <c r="F337" s="12">
        <v>1.6</v>
      </c>
      <c r="G337" s="13">
        <v>5.87</v>
      </c>
      <c r="H337">
        <f t="shared" si="5"/>
        <v>6.6400000000000006</v>
      </c>
    </row>
    <row r="338" spans="1:8" x14ac:dyDescent="0.25">
      <c r="A338" s="6">
        <v>44898</v>
      </c>
      <c r="B338" s="7">
        <v>0.30778935185185186</v>
      </c>
      <c r="C338" s="7">
        <v>0.6446412037037037</v>
      </c>
      <c r="D338" s="8">
        <v>5</v>
      </c>
      <c r="E338" s="8">
        <v>3.36</v>
      </c>
      <c r="F338" s="8">
        <v>2.41</v>
      </c>
      <c r="G338" s="9">
        <v>4.95</v>
      </c>
      <c r="H338">
        <f t="shared" si="5"/>
        <v>5.9</v>
      </c>
    </row>
    <row r="339" spans="1:8" x14ac:dyDescent="0.25">
      <c r="A339" s="10">
        <v>44899</v>
      </c>
      <c r="B339" s="11">
        <v>0.3087152777777778</v>
      </c>
      <c r="C339" s="11">
        <v>0.64425925925925931</v>
      </c>
      <c r="D339" s="12">
        <v>8</v>
      </c>
      <c r="E339" s="12">
        <v>1.32</v>
      </c>
      <c r="F339" s="12">
        <v>0.54</v>
      </c>
      <c r="G339" s="13">
        <v>5.16</v>
      </c>
      <c r="H339">
        <f t="shared" si="5"/>
        <v>5.94</v>
      </c>
    </row>
    <row r="340" spans="1:8" x14ac:dyDescent="0.25">
      <c r="A340" s="6">
        <v>44900</v>
      </c>
      <c r="B340" s="7">
        <v>0.30961805555555555</v>
      </c>
      <c r="C340" s="7">
        <v>0.64393518518518522</v>
      </c>
      <c r="D340" s="8">
        <v>7</v>
      </c>
      <c r="E340" s="8">
        <v>2.48</v>
      </c>
      <c r="F340" s="8">
        <v>0.49</v>
      </c>
      <c r="G340" s="9">
        <v>5.04</v>
      </c>
      <c r="H340">
        <f t="shared" si="5"/>
        <v>7.0299999999999994</v>
      </c>
    </row>
    <row r="341" spans="1:8" x14ac:dyDescent="0.25">
      <c r="A341" s="10">
        <v>44901</v>
      </c>
      <c r="B341" s="11">
        <v>0.31049768518518517</v>
      </c>
      <c r="C341" s="11">
        <v>0.64363425925925921</v>
      </c>
      <c r="D341" s="12">
        <v>7</v>
      </c>
      <c r="E341" s="12">
        <v>2.2000000000000002</v>
      </c>
      <c r="F341" s="12">
        <v>0.61</v>
      </c>
      <c r="G341" s="13">
        <v>4.92</v>
      </c>
      <c r="H341">
        <f t="shared" si="5"/>
        <v>6.51</v>
      </c>
    </row>
    <row r="342" spans="1:8" x14ac:dyDescent="0.25">
      <c r="A342" s="6">
        <v>44902</v>
      </c>
      <c r="B342" s="7">
        <v>0.31134259259259262</v>
      </c>
      <c r="C342" s="7">
        <v>0.64337962962962958</v>
      </c>
      <c r="D342" s="8">
        <v>7</v>
      </c>
      <c r="E342" s="8">
        <v>2.87</v>
      </c>
      <c r="F342" s="8">
        <v>0.35</v>
      </c>
      <c r="G342" s="9">
        <v>5.03</v>
      </c>
      <c r="H342">
        <f t="shared" si="5"/>
        <v>7.5500000000000007</v>
      </c>
    </row>
    <row r="343" spans="1:8" x14ac:dyDescent="0.25">
      <c r="A343" s="10">
        <v>44903</v>
      </c>
      <c r="B343" s="11">
        <v>0.31216435185185187</v>
      </c>
      <c r="C343" s="11">
        <v>0.64317129629629632</v>
      </c>
      <c r="D343" s="12">
        <v>7</v>
      </c>
      <c r="E343" s="12">
        <v>2.8</v>
      </c>
      <c r="F343" s="12">
        <v>1.24</v>
      </c>
      <c r="G343" s="13">
        <v>4.29</v>
      </c>
      <c r="H343">
        <f t="shared" si="5"/>
        <v>5.85</v>
      </c>
    </row>
    <row r="344" spans="1:8" x14ac:dyDescent="0.25">
      <c r="A344" s="6">
        <v>44904</v>
      </c>
      <c r="B344" s="7">
        <v>0.3129513888888889</v>
      </c>
      <c r="C344" s="7">
        <v>0.64298611111111115</v>
      </c>
      <c r="D344" s="8">
        <v>6</v>
      </c>
      <c r="E344" s="8">
        <v>2.95</v>
      </c>
      <c r="F344" s="8">
        <v>1.42</v>
      </c>
      <c r="G344" s="9">
        <v>4.25</v>
      </c>
      <c r="H344">
        <f t="shared" si="5"/>
        <v>5.78</v>
      </c>
    </row>
    <row r="345" spans="1:8" x14ac:dyDescent="0.25">
      <c r="A345" s="10">
        <v>44905</v>
      </c>
      <c r="B345" s="11">
        <v>0.3137152777777778</v>
      </c>
      <c r="C345" s="11">
        <v>0.64285879629629628</v>
      </c>
      <c r="D345" s="12">
        <v>6</v>
      </c>
      <c r="E345" s="12">
        <v>3.38</v>
      </c>
      <c r="F345" s="12">
        <v>1.66</v>
      </c>
      <c r="G345" s="13">
        <v>5.07</v>
      </c>
      <c r="H345">
        <f t="shared" si="5"/>
        <v>6.7899999999999991</v>
      </c>
    </row>
    <row r="346" spans="1:8" x14ac:dyDescent="0.25">
      <c r="A346" s="6">
        <v>44906</v>
      </c>
      <c r="B346" s="7">
        <v>0.31444444444444447</v>
      </c>
      <c r="C346" s="7">
        <v>0.64275462962962959</v>
      </c>
      <c r="D346" s="8">
        <v>7</v>
      </c>
      <c r="E346" s="8">
        <v>2.11</v>
      </c>
      <c r="F346" s="8">
        <v>0.84</v>
      </c>
      <c r="G346" s="9">
        <v>5.38</v>
      </c>
      <c r="H346">
        <f t="shared" si="5"/>
        <v>6.65</v>
      </c>
    </row>
    <row r="347" spans="1:8" x14ac:dyDescent="0.25">
      <c r="A347" s="10">
        <v>44907</v>
      </c>
      <c r="B347" s="11">
        <v>0.31515046296296295</v>
      </c>
      <c r="C347" s="11">
        <v>0.64269675925925929</v>
      </c>
      <c r="D347" s="12">
        <v>8</v>
      </c>
      <c r="E347" s="12">
        <v>1.31</v>
      </c>
      <c r="F347" s="12">
        <v>0.05</v>
      </c>
      <c r="G347" s="13">
        <v>6.3</v>
      </c>
      <c r="H347">
        <f t="shared" si="5"/>
        <v>7.56</v>
      </c>
    </row>
    <row r="348" spans="1:8" x14ac:dyDescent="0.25">
      <c r="A348" s="6">
        <v>44908</v>
      </c>
      <c r="B348" s="7">
        <v>0.31581018518518517</v>
      </c>
      <c r="C348" s="7">
        <v>0.64268518518518514</v>
      </c>
      <c r="D348" s="8">
        <v>7</v>
      </c>
      <c r="E348" s="8">
        <v>2.0299999999999998</v>
      </c>
      <c r="F348" s="8">
        <v>1.02</v>
      </c>
      <c r="G348" s="9">
        <v>6.12</v>
      </c>
      <c r="H348">
        <f t="shared" si="5"/>
        <v>7.1300000000000008</v>
      </c>
    </row>
    <row r="349" spans="1:8" x14ac:dyDescent="0.25">
      <c r="A349" s="10">
        <v>44909</v>
      </c>
      <c r="B349" s="11">
        <v>0.31644675925925925</v>
      </c>
      <c r="C349" s="11">
        <v>0.64270833333333333</v>
      </c>
      <c r="D349" s="12">
        <v>8</v>
      </c>
      <c r="E349" s="12">
        <v>1.5</v>
      </c>
      <c r="F349" s="12">
        <v>0.14000000000000001</v>
      </c>
      <c r="G349" s="13">
        <v>6.01</v>
      </c>
      <c r="H349">
        <f t="shared" si="5"/>
        <v>7.37</v>
      </c>
    </row>
    <row r="350" spans="1:8" x14ac:dyDescent="0.25">
      <c r="A350" s="6">
        <v>44910</v>
      </c>
      <c r="B350" s="7">
        <v>0.3170486111111111</v>
      </c>
      <c r="C350" s="7">
        <v>0.64277777777777778</v>
      </c>
      <c r="D350" s="8">
        <v>5</v>
      </c>
      <c r="E350" s="8">
        <v>3.8</v>
      </c>
      <c r="F350" s="8">
        <v>0.24</v>
      </c>
      <c r="G350" s="9">
        <v>4.92</v>
      </c>
      <c r="H350">
        <f t="shared" si="5"/>
        <v>8.4799999999999986</v>
      </c>
    </row>
    <row r="351" spans="1:8" x14ac:dyDescent="0.25">
      <c r="A351" s="10">
        <v>44911</v>
      </c>
      <c r="B351" s="11">
        <v>0.31761574074074073</v>
      </c>
      <c r="C351" s="11">
        <v>0.64288194444444446</v>
      </c>
      <c r="D351" s="12">
        <v>7</v>
      </c>
      <c r="E351" s="12">
        <v>2.11</v>
      </c>
      <c r="F351" s="12">
        <v>0.6</v>
      </c>
      <c r="G351" s="13">
        <v>4.95</v>
      </c>
      <c r="H351">
        <f t="shared" si="5"/>
        <v>6.4600000000000009</v>
      </c>
    </row>
    <row r="352" spans="1:8" x14ac:dyDescent="0.25">
      <c r="A352" s="6">
        <v>44912</v>
      </c>
      <c r="B352" s="7">
        <v>0.31813657407407409</v>
      </c>
      <c r="C352" s="7">
        <v>0.64303240740740741</v>
      </c>
      <c r="D352" s="8">
        <v>7</v>
      </c>
      <c r="E352" s="8">
        <v>2.2200000000000002</v>
      </c>
      <c r="F352" s="8">
        <v>0.95</v>
      </c>
      <c r="G352" s="9">
        <v>6.02</v>
      </c>
      <c r="H352">
        <f t="shared" si="5"/>
        <v>7.29</v>
      </c>
    </row>
    <row r="353" spans="1:8" x14ac:dyDescent="0.25">
      <c r="A353" s="10">
        <v>44913</v>
      </c>
      <c r="B353" s="11">
        <v>0.31863425925925926</v>
      </c>
      <c r="C353" s="11">
        <v>0.64321759259259259</v>
      </c>
      <c r="D353" s="12">
        <v>7</v>
      </c>
      <c r="E353" s="12">
        <v>2.82</v>
      </c>
      <c r="F353" s="12">
        <v>0.3</v>
      </c>
      <c r="G353" s="13">
        <v>4.6500000000000004</v>
      </c>
      <c r="H353">
        <f t="shared" si="5"/>
        <v>7.1700000000000008</v>
      </c>
    </row>
    <row r="354" spans="1:8" x14ac:dyDescent="0.25">
      <c r="A354" s="6">
        <v>44914</v>
      </c>
      <c r="B354" s="7">
        <v>0.3190972222222222</v>
      </c>
      <c r="C354" s="7">
        <v>0.64344907407407403</v>
      </c>
      <c r="D354" s="8">
        <v>8</v>
      </c>
      <c r="E354" s="8">
        <v>1.25</v>
      </c>
      <c r="F354" s="8">
        <v>0.32</v>
      </c>
      <c r="G354" s="9">
        <v>6.04</v>
      </c>
      <c r="H354">
        <f t="shared" si="5"/>
        <v>6.97</v>
      </c>
    </row>
    <row r="355" spans="1:8" x14ac:dyDescent="0.25">
      <c r="A355" s="10">
        <v>44915</v>
      </c>
      <c r="B355" s="11">
        <v>0.31951388888888888</v>
      </c>
      <c r="C355" s="11">
        <v>0.64371527777777782</v>
      </c>
      <c r="D355" s="12">
        <v>8</v>
      </c>
      <c r="E355" s="12">
        <v>1.55</v>
      </c>
      <c r="F355" s="12">
        <v>0.12</v>
      </c>
      <c r="G355" s="13">
        <v>4.43</v>
      </c>
      <c r="H355">
        <f t="shared" si="5"/>
        <v>5.8599999999999994</v>
      </c>
    </row>
    <row r="356" spans="1:8" x14ac:dyDescent="0.25">
      <c r="A356" s="6">
        <v>44916</v>
      </c>
      <c r="B356" s="7">
        <v>0.31989583333333332</v>
      </c>
      <c r="C356" s="7">
        <v>0.64402777777777775</v>
      </c>
      <c r="D356" s="8">
        <v>8</v>
      </c>
      <c r="E356" s="8">
        <v>1.77</v>
      </c>
      <c r="F356" s="8">
        <v>0.14000000000000001</v>
      </c>
      <c r="G356" s="9">
        <v>6.21</v>
      </c>
      <c r="H356">
        <f t="shared" si="5"/>
        <v>7.8400000000000007</v>
      </c>
    </row>
    <row r="357" spans="1:8" x14ac:dyDescent="0.25">
      <c r="A357" s="10">
        <v>44917</v>
      </c>
      <c r="B357" s="11">
        <v>0.32023148148148151</v>
      </c>
      <c r="C357" s="11">
        <v>0.64437500000000003</v>
      </c>
      <c r="D357" s="12">
        <v>8</v>
      </c>
      <c r="E357" s="12">
        <v>1.31</v>
      </c>
      <c r="F357" s="12">
        <v>0.17</v>
      </c>
      <c r="G357" s="13">
        <v>4.8499999999999996</v>
      </c>
      <c r="H357">
        <f t="shared" si="5"/>
        <v>5.99</v>
      </c>
    </row>
    <row r="358" spans="1:8" x14ac:dyDescent="0.25">
      <c r="A358" s="6">
        <v>44918</v>
      </c>
      <c r="B358" s="7">
        <v>0.3205439814814815</v>
      </c>
      <c r="C358" s="7">
        <v>0.64475694444444442</v>
      </c>
      <c r="D358" s="8">
        <v>6</v>
      </c>
      <c r="E358" s="8">
        <v>3.04</v>
      </c>
      <c r="F358" s="8">
        <v>0.72</v>
      </c>
      <c r="G358" s="9">
        <v>4.12</v>
      </c>
      <c r="H358">
        <f t="shared" si="5"/>
        <v>6.44</v>
      </c>
    </row>
    <row r="359" spans="1:8" x14ac:dyDescent="0.25">
      <c r="A359" s="10">
        <v>44919</v>
      </c>
      <c r="B359" s="11">
        <v>0.32081018518518517</v>
      </c>
      <c r="C359" s="11">
        <v>0.64518518518518519</v>
      </c>
      <c r="D359" s="12">
        <v>8</v>
      </c>
      <c r="E359" s="12">
        <v>1.0900000000000001</v>
      </c>
      <c r="F359" s="12">
        <v>0.09</v>
      </c>
      <c r="G359" s="13">
        <v>6.07</v>
      </c>
      <c r="H359">
        <f t="shared" si="5"/>
        <v>7.07</v>
      </c>
    </row>
    <row r="360" spans="1:8" x14ac:dyDescent="0.25">
      <c r="A360" s="6">
        <v>44920</v>
      </c>
      <c r="B360" s="7">
        <v>0.32103009259259258</v>
      </c>
      <c r="C360" s="7">
        <v>0.64564814814814819</v>
      </c>
      <c r="D360" s="8">
        <v>7</v>
      </c>
      <c r="E360" s="8">
        <v>2.92</v>
      </c>
      <c r="F360" s="8">
        <v>1.05</v>
      </c>
      <c r="G360" s="9">
        <v>4.1399999999999997</v>
      </c>
      <c r="H360">
        <f t="shared" si="5"/>
        <v>6.01</v>
      </c>
    </row>
    <row r="361" spans="1:8" x14ac:dyDescent="0.25">
      <c r="A361" s="10">
        <v>44921</v>
      </c>
      <c r="B361" s="11">
        <v>0.32121527777777775</v>
      </c>
      <c r="C361" s="11">
        <v>0.64614583333333331</v>
      </c>
      <c r="D361" s="12">
        <v>6</v>
      </c>
      <c r="E361" s="12">
        <v>3.24</v>
      </c>
      <c r="F361" s="12">
        <v>2.04</v>
      </c>
      <c r="G361" s="13">
        <v>5.0199999999999996</v>
      </c>
      <c r="H361">
        <f t="shared" si="5"/>
        <v>6.22</v>
      </c>
    </row>
    <row r="362" spans="1:8" x14ac:dyDescent="0.25">
      <c r="A362" s="6">
        <v>44922</v>
      </c>
      <c r="B362" s="7">
        <v>0.32136574074074076</v>
      </c>
      <c r="C362" s="7">
        <v>0.64667824074074076</v>
      </c>
      <c r="D362" s="8">
        <v>5</v>
      </c>
      <c r="E362" s="8">
        <v>3.79</v>
      </c>
      <c r="F362" s="8">
        <v>2.61</v>
      </c>
      <c r="G362" s="9">
        <v>4.6500000000000004</v>
      </c>
      <c r="H362">
        <f t="shared" si="5"/>
        <v>5.8300000000000018</v>
      </c>
    </row>
    <row r="363" spans="1:8" x14ac:dyDescent="0.25">
      <c r="A363" s="10">
        <v>44923</v>
      </c>
      <c r="B363" s="11">
        <v>0.32146990740740738</v>
      </c>
      <c r="C363" s="11">
        <v>0.64725694444444448</v>
      </c>
      <c r="D363" s="12">
        <v>8</v>
      </c>
      <c r="E363" s="12">
        <v>1.54</v>
      </c>
      <c r="F363" s="12">
        <v>0.36</v>
      </c>
      <c r="G363" s="13">
        <v>4.1900000000000004</v>
      </c>
      <c r="H363">
        <f t="shared" si="5"/>
        <v>5.37</v>
      </c>
    </row>
    <row r="364" spans="1:8" x14ac:dyDescent="0.25">
      <c r="A364" s="6">
        <v>44924</v>
      </c>
      <c r="B364" s="7">
        <v>0.32153935185185184</v>
      </c>
      <c r="C364" s="7">
        <v>0.64787037037037032</v>
      </c>
      <c r="D364" s="8">
        <v>8</v>
      </c>
      <c r="E364" s="8">
        <v>1.21</v>
      </c>
      <c r="F364" s="8">
        <v>0.24</v>
      </c>
      <c r="G364" s="9">
        <v>5.39</v>
      </c>
      <c r="H364">
        <f t="shared" si="5"/>
        <v>6.3599999999999994</v>
      </c>
    </row>
    <row r="365" spans="1:8" x14ac:dyDescent="0.25">
      <c r="A365" s="10">
        <v>44925</v>
      </c>
      <c r="B365" s="11">
        <v>0.32156249999999997</v>
      </c>
      <c r="C365" s="11">
        <v>0.64850694444444446</v>
      </c>
      <c r="D365" s="12">
        <v>5</v>
      </c>
      <c r="E365" s="12">
        <v>3.76</v>
      </c>
      <c r="F365" s="12">
        <v>0.22</v>
      </c>
      <c r="G365" s="13">
        <v>4.0599999999999996</v>
      </c>
      <c r="H365">
        <f t="shared" si="5"/>
        <v>7.6</v>
      </c>
    </row>
    <row r="366" spans="1:8" x14ac:dyDescent="0.25">
      <c r="A366" s="14">
        <v>44926</v>
      </c>
      <c r="B366" s="15">
        <v>0.32155092592592593</v>
      </c>
      <c r="C366" s="15">
        <v>0.64918981481481486</v>
      </c>
      <c r="D366" s="1">
        <v>8</v>
      </c>
      <c r="E366" s="1">
        <v>1.98</v>
      </c>
      <c r="F366" s="1">
        <v>0.03</v>
      </c>
      <c r="G366" s="2">
        <v>5.03</v>
      </c>
      <c r="H366">
        <f t="shared" si="5"/>
        <v>6.9799999999999995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0A54-A178-47BC-84F8-82C2B267DFCE}">
  <dimension ref="A1:Y366"/>
  <sheetViews>
    <sheetView tabSelected="1" zoomScale="85" zoomScaleNormal="85" workbookViewId="0">
      <selection activeCell="Q11" sqref="Q11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  <col min="15" max="15" width="10.28515625" bestFit="1" customWidth="1"/>
  </cols>
  <sheetData>
    <row r="1" spans="1:2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6" t="s">
        <v>8</v>
      </c>
      <c r="I1" s="16" t="s">
        <v>9</v>
      </c>
    </row>
    <row r="2" spans="1:25" x14ac:dyDescent="0.25">
      <c r="A2" s="6">
        <v>44562</v>
      </c>
      <c r="B2" s="7">
        <v>0.32148148148148148</v>
      </c>
      <c r="C2" s="7">
        <v>0.65008101851851852</v>
      </c>
      <c r="D2" s="8">
        <v>0</v>
      </c>
      <c r="E2" s="8">
        <v>7.78</v>
      </c>
      <c r="F2" s="8">
        <v>3.29</v>
      </c>
      <c r="G2" s="9">
        <v>4.5599999999999996</v>
      </c>
      <c r="H2">
        <f>D2</f>
        <v>0</v>
      </c>
      <c r="I2">
        <v>0</v>
      </c>
      <c r="O2" s="6">
        <v>44706</v>
      </c>
      <c r="P2" s="7">
        <v>0.18429398148148149</v>
      </c>
      <c r="Q2" s="7">
        <v>0.86144675925925929</v>
      </c>
      <c r="R2" s="8">
        <v>6</v>
      </c>
      <c r="S2" s="8">
        <v>1.6</v>
      </c>
      <c r="T2" s="8">
        <v>0.94</v>
      </c>
      <c r="U2" s="9">
        <v>4.68</v>
      </c>
      <c r="V2">
        <f t="shared" ref="V2:V8" si="0">IF(R2&lt;=R1,1,0)</f>
        <v>0</v>
      </c>
      <c r="W2">
        <f t="shared" ref="W2:W8" si="1">IF(S2&gt;=S1,1,0)</f>
        <v>1</v>
      </c>
      <c r="X2">
        <f t="shared" ref="X2:X8" si="2">IF(AND(V2=1,W2=1),1,0)</f>
        <v>0</v>
      </c>
      <c r="Y2" s="22">
        <f t="shared" ref="Y2:Y8" si="3">IF(X2=0,0,X2+Y1)</f>
        <v>0</v>
      </c>
    </row>
    <row r="3" spans="1:25" x14ac:dyDescent="0.25">
      <c r="A3" s="10">
        <v>44563</v>
      </c>
      <c r="B3" s="11">
        <v>0.3213773148148148</v>
      </c>
      <c r="C3" s="11">
        <v>0.65083333333333337</v>
      </c>
      <c r="D3" s="12">
        <v>4</v>
      </c>
      <c r="E3" s="12">
        <v>4.47</v>
      </c>
      <c r="F3" s="12">
        <v>1.23</v>
      </c>
      <c r="G3" s="13">
        <v>3.99</v>
      </c>
      <c r="H3">
        <f>IF(D3&lt;=D2,1,0)</f>
        <v>0</v>
      </c>
      <c r="I3">
        <f>IF(E3&gt;=E2,1,0)</f>
        <v>0</v>
      </c>
      <c r="J3">
        <f>IF(AND(H3=1,I3=1),1,0)</f>
        <v>0</v>
      </c>
      <c r="K3">
        <v>0</v>
      </c>
      <c r="M3">
        <f>MAX(K3:K366)</f>
        <v>6</v>
      </c>
      <c r="O3" s="10">
        <v>44707</v>
      </c>
      <c r="P3" s="11">
        <v>0.18351851851851853</v>
      </c>
      <c r="Q3" s="11">
        <v>0.86237268518518517</v>
      </c>
      <c r="R3" s="12">
        <v>4</v>
      </c>
      <c r="S3" s="12">
        <v>2.0699999999999998</v>
      </c>
      <c r="T3" s="12">
        <v>1.05</v>
      </c>
      <c r="U3" s="13">
        <v>3.94</v>
      </c>
      <c r="V3">
        <f t="shared" si="0"/>
        <v>1</v>
      </c>
      <c r="W3">
        <f t="shared" si="1"/>
        <v>1</v>
      </c>
      <c r="X3">
        <f t="shared" si="2"/>
        <v>1</v>
      </c>
      <c r="Y3" s="22">
        <f t="shared" si="3"/>
        <v>1</v>
      </c>
    </row>
    <row r="4" spans="1:25" x14ac:dyDescent="0.25">
      <c r="A4" s="6">
        <v>44564</v>
      </c>
      <c r="B4" s="7">
        <v>0.32123842592592594</v>
      </c>
      <c r="C4" s="7">
        <v>0.65162037037037035</v>
      </c>
      <c r="D4" s="8">
        <v>4</v>
      </c>
      <c r="E4" s="8">
        <v>6.02</v>
      </c>
      <c r="F4" s="8">
        <v>4.74</v>
      </c>
      <c r="G4" s="9">
        <v>2.56</v>
      </c>
      <c r="H4">
        <f t="shared" ref="H4:H67" si="4">IF(D4&lt;=D3,1,0)</f>
        <v>1</v>
      </c>
      <c r="I4">
        <f t="shared" ref="I4:I67" si="5">IF(E4&gt;=E3,1,0)</f>
        <v>1</v>
      </c>
      <c r="J4">
        <f t="shared" ref="J4:J67" si="6">IF(AND(H4=1,I4=1),1,0)</f>
        <v>1</v>
      </c>
      <c r="K4">
        <f>IF(J4=0,0,J4+K3)</f>
        <v>1</v>
      </c>
      <c r="O4" s="6">
        <v>44708</v>
      </c>
      <c r="P4" s="7">
        <v>0.18276620370370369</v>
      </c>
      <c r="Q4" s="7">
        <v>0.86328703703703702</v>
      </c>
      <c r="R4" s="8">
        <v>4</v>
      </c>
      <c r="S4" s="8">
        <v>2.96</v>
      </c>
      <c r="T4" s="8">
        <v>1.06</v>
      </c>
      <c r="U4" s="9">
        <v>3.59</v>
      </c>
      <c r="V4">
        <f t="shared" si="0"/>
        <v>1</v>
      </c>
      <c r="W4">
        <f t="shared" si="1"/>
        <v>1</v>
      </c>
      <c r="X4">
        <f t="shared" si="2"/>
        <v>1</v>
      </c>
      <c r="Y4" s="22">
        <f t="shared" si="3"/>
        <v>2</v>
      </c>
    </row>
    <row r="5" spans="1:25" x14ac:dyDescent="0.25">
      <c r="A5" s="10">
        <v>44565</v>
      </c>
      <c r="B5" s="11">
        <v>0.32105324074074076</v>
      </c>
      <c r="C5" s="11">
        <v>0.65243055555555551</v>
      </c>
      <c r="D5" s="12">
        <v>6</v>
      </c>
      <c r="E5" s="12">
        <v>2.63</v>
      </c>
      <c r="F5" s="12">
        <v>1.22</v>
      </c>
      <c r="G5" s="13">
        <v>5.22</v>
      </c>
      <c r="H5">
        <f t="shared" si="4"/>
        <v>0</v>
      </c>
      <c r="I5">
        <f t="shared" si="5"/>
        <v>0</v>
      </c>
      <c r="J5">
        <f t="shared" si="6"/>
        <v>0</v>
      </c>
      <c r="K5">
        <f t="shared" ref="K5:K68" si="7">IF(J5=0,0,J5+K4)</f>
        <v>0</v>
      </c>
      <c r="O5" s="10">
        <v>44709</v>
      </c>
      <c r="P5" s="11">
        <v>0.18203703703703702</v>
      </c>
      <c r="Q5" s="11">
        <v>0.86416666666666664</v>
      </c>
      <c r="R5" s="12">
        <v>3</v>
      </c>
      <c r="S5" s="12">
        <v>5.78</v>
      </c>
      <c r="T5" s="12">
        <v>4.2</v>
      </c>
      <c r="U5" s="13">
        <v>2.96</v>
      </c>
      <c r="V5">
        <f t="shared" si="0"/>
        <v>1</v>
      </c>
      <c r="W5">
        <f t="shared" si="1"/>
        <v>1</v>
      </c>
      <c r="X5">
        <f t="shared" si="2"/>
        <v>1</v>
      </c>
      <c r="Y5" s="22">
        <f t="shared" si="3"/>
        <v>3</v>
      </c>
    </row>
    <row r="6" spans="1:25" x14ac:dyDescent="0.25">
      <c r="A6" s="6">
        <v>44566</v>
      </c>
      <c r="B6" s="7">
        <v>0.32083333333333336</v>
      </c>
      <c r="C6" s="7">
        <v>0.65327546296296302</v>
      </c>
      <c r="D6" s="8">
        <v>2</v>
      </c>
      <c r="E6" s="8">
        <v>7.99</v>
      </c>
      <c r="F6" s="8">
        <v>5.68</v>
      </c>
      <c r="G6" s="9">
        <v>4.22</v>
      </c>
      <c r="H6">
        <f t="shared" si="4"/>
        <v>1</v>
      </c>
      <c r="I6">
        <f t="shared" si="5"/>
        <v>1</v>
      </c>
      <c r="J6">
        <f t="shared" si="6"/>
        <v>1</v>
      </c>
      <c r="K6">
        <f t="shared" si="7"/>
        <v>1</v>
      </c>
      <c r="O6" s="6">
        <v>44710</v>
      </c>
      <c r="P6" s="7">
        <v>0.18135416666666668</v>
      </c>
      <c r="Q6" s="7">
        <v>0.86504629629629626</v>
      </c>
      <c r="R6" s="8">
        <v>1</v>
      </c>
      <c r="S6" s="8">
        <v>15.38</v>
      </c>
      <c r="T6" s="8">
        <v>10.54</v>
      </c>
      <c r="U6" s="9">
        <v>2.16</v>
      </c>
      <c r="V6">
        <f t="shared" si="0"/>
        <v>1</v>
      </c>
      <c r="W6">
        <f t="shared" si="1"/>
        <v>1</v>
      </c>
      <c r="X6">
        <f t="shared" si="2"/>
        <v>1</v>
      </c>
      <c r="Y6" s="22">
        <f t="shared" si="3"/>
        <v>4</v>
      </c>
    </row>
    <row r="7" spans="1:25" x14ac:dyDescent="0.25">
      <c r="A7" s="10">
        <v>44567</v>
      </c>
      <c r="B7" s="11">
        <v>0.32057870370370373</v>
      </c>
      <c r="C7" s="11">
        <v>0.65414351851851849</v>
      </c>
      <c r="D7" s="12">
        <v>3</v>
      </c>
      <c r="E7" s="12">
        <v>4.6500000000000004</v>
      </c>
      <c r="F7" s="12">
        <v>3.24</v>
      </c>
      <c r="G7" s="13">
        <v>2.57</v>
      </c>
      <c r="H7">
        <f t="shared" si="4"/>
        <v>0</v>
      </c>
      <c r="I7">
        <f t="shared" si="5"/>
        <v>0</v>
      </c>
      <c r="J7">
        <f t="shared" si="6"/>
        <v>0</v>
      </c>
      <c r="K7">
        <f t="shared" si="7"/>
        <v>0</v>
      </c>
      <c r="O7" s="10">
        <v>44711</v>
      </c>
      <c r="P7" s="11">
        <v>0.18069444444444444</v>
      </c>
      <c r="Q7" s="11">
        <v>0.86589120370370365</v>
      </c>
      <c r="R7" s="12">
        <v>1</v>
      </c>
      <c r="S7" s="12">
        <v>15.89</v>
      </c>
      <c r="T7" s="12">
        <v>9.68</v>
      </c>
      <c r="U7" s="13">
        <v>1.24</v>
      </c>
      <c r="V7">
        <f t="shared" si="0"/>
        <v>1</v>
      </c>
      <c r="W7">
        <f t="shared" si="1"/>
        <v>1</v>
      </c>
      <c r="X7">
        <f t="shared" si="2"/>
        <v>1</v>
      </c>
      <c r="Y7" s="22">
        <f t="shared" si="3"/>
        <v>5</v>
      </c>
    </row>
    <row r="8" spans="1:25" x14ac:dyDescent="0.25">
      <c r="A8" s="6">
        <v>44568</v>
      </c>
      <c r="B8" s="7">
        <v>0.32027777777777777</v>
      </c>
      <c r="C8" s="7">
        <v>0.65504629629629629</v>
      </c>
      <c r="D8" s="8">
        <v>1</v>
      </c>
      <c r="E8" s="8">
        <v>7.91</v>
      </c>
      <c r="F8" s="8">
        <v>2.34</v>
      </c>
      <c r="G8" s="9">
        <v>2.2200000000000002</v>
      </c>
      <c r="H8">
        <f t="shared" si="4"/>
        <v>1</v>
      </c>
      <c r="I8">
        <f t="shared" si="5"/>
        <v>1</v>
      </c>
      <c r="J8">
        <f t="shared" si="6"/>
        <v>1</v>
      </c>
      <c r="K8">
        <f t="shared" si="7"/>
        <v>1</v>
      </c>
      <c r="O8" s="6">
        <v>44712</v>
      </c>
      <c r="P8" s="7">
        <v>0.18006944444444445</v>
      </c>
      <c r="Q8" s="7">
        <v>0.86671296296296296</v>
      </c>
      <c r="R8" s="8">
        <v>0</v>
      </c>
      <c r="S8" s="8">
        <v>18.7</v>
      </c>
      <c r="T8" s="8">
        <v>9.4</v>
      </c>
      <c r="U8" s="9">
        <v>0.39</v>
      </c>
      <c r="V8">
        <f t="shared" si="0"/>
        <v>1</v>
      </c>
      <c r="W8">
        <f t="shared" si="1"/>
        <v>1</v>
      </c>
      <c r="X8">
        <f t="shared" si="2"/>
        <v>1</v>
      </c>
      <c r="Y8" s="22">
        <f t="shared" si="3"/>
        <v>6</v>
      </c>
    </row>
    <row r="9" spans="1:25" x14ac:dyDescent="0.25">
      <c r="A9" s="10">
        <v>44569</v>
      </c>
      <c r="B9" s="11">
        <v>0.31994212962962965</v>
      </c>
      <c r="C9" s="11">
        <v>0.65597222222222218</v>
      </c>
      <c r="D9" s="12">
        <v>1</v>
      </c>
      <c r="E9" s="12">
        <v>7.24</v>
      </c>
      <c r="F9" s="12">
        <v>2.58</v>
      </c>
      <c r="G9" s="13">
        <v>2.4700000000000002</v>
      </c>
      <c r="H9">
        <f t="shared" si="4"/>
        <v>1</v>
      </c>
      <c r="I9">
        <f t="shared" si="5"/>
        <v>0</v>
      </c>
      <c r="J9">
        <f t="shared" si="6"/>
        <v>0</v>
      </c>
      <c r="K9">
        <f t="shared" si="7"/>
        <v>0</v>
      </c>
    </row>
    <row r="10" spans="1:25" x14ac:dyDescent="0.25">
      <c r="A10" s="6">
        <v>44570</v>
      </c>
      <c r="B10" s="7">
        <v>0.31957175925925924</v>
      </c>
      <c r="C10" s="7">
        <v>0.6569328703703704</v>
      </c>
      <c r="D10" s="8">
        <v>1</v>
      </c>
      <c r="E10" s="8">
        <v>7.96</v>
      </c>
      <c r="F10" s="8">
        <v>2.74</v>
      </c>
      <c r="G10" s="9">
        <v>1.95</v>
      </c>
      <c r="H10">
        <f t="shared" si="4"/>
        <v>1</v>
      </c>
      <c r="I10">
        <f t="shared" si="5"/>
        <v>1</v>
      </c>
      <c r="J10">
        <f t="shared" si="6"/>
        <v>1</v>
      </c>
      <c r="K10">
        <f t="shared" si="7"/>
        <v>1</v>
      </c>
    </row>
    <row r="11" spans="1:25" x14ac:dyDescent="0.25">
      <c r="A11" s="10">
        <v>44571</v>
      </c>
      <c r="B11" s="11">
        <v>0.31915509259259262</v>
      </c>
      <c r="C11" s="11">
        <v>0.65790509259259256</v>
      </c>
      <c r="D11" s="12">
        <v>3</v>
      </c>
      <c r="E11" s="12">
        <v>2.37</v>
      </c>
      <c r="F11" s="12">
        <v>0.96</v>
      </c>
      <c r="G11" s="13">
        <v>2.3199999999999998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7"/>
        <v>0</v>
      </c>
    </row>
    <row r="12" spans="1:25" x14ac:dyDescent="0.25">
      <c r="A12" s="6">
        <v>44572</v>
      </c>
      <c r="B12" s="7">
        <v>0.31870370370370371</v>
      </c>
      <c r="C12" s="7">
        <v>0.65891203703703705</v>
      </c>
      <c r="D12" s="8">
        <v>5</v>
      </c>
      <c r="E12" s="8">
        <v>1.56</v>
      </c>
      <c r="F12" s="8">
        <v>0.45</v>
      </c>
      <c r="G12" s="9">
        <v>3.21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0</v>
      </c>
    </row>
    <row r="13" spans="1:25" x14ac:dyDescent="0.25">
      <c r="A13" s="10">
        <v>44573</v>
      </c>
      <c r="B13" s="11">
        <v>0.31821759259259258</v>
      </c>
      <c r="C13" s="11">
        <v>0.65993055555555558</v>
      </c>
      <c r="D13" s="12">
        <v>6</v>
      </c>
      <c r="E13" s="12">
        <v>1.27</v>
      </c>
      <c r="F13" s="12">
        <v>0.22</v>
      </c>
      <c r="G13" s="13">
        <v>3.34</v>
      </c>
      <c r="H13">
        <f t="shared" si="4"/>
        <v>0</v>
      </c>
      <c r="I13">
        <f t="shared" si="5"/>
        <v>0</v>
      </c>
      <c r="J13">
        <f t="shared" si="6"/>
        <v>0</v>
      </c>
      <c r="K13">
        <f t="shared" si="7"/>
        <v>0</v>
      </c>
    </row>
    <row r="14" spans="1:25" x14ac:dyDescent="0.25">
      <c r="A14" s="6">
        <v>44574</v>
      </c>
      <c r="B14" s="7">
        <v>0.31769675925925928</v>
      </c>
      <c r="C14" s="7">
        <v>0.66098379629629633</v>
      </c>
      <c r="D14" s="8">
        <v>0</v>
      </c>
      <c r="E14" s="8">
        <v>8.6300000000000008</v>
      </c>
      <c r="F14" s="8">
        <v>3.47</v>
      </c>
      <c r="G14" s="9">
        <v>2.2599999999999998</v>
      </c>
      <c r="H14">
        <f t="shared" si="4"/>
        <v>1</v>
      </c>
      <c r="I14">
        <f t="shared" si="5"/>
        <v>1</v>
      </c>
      <c r="J14">
        <f t="shared" si="6"/>
        <v>1</v>
      </c>
      <c r="K14">
        <f t="shared" si="7"/>
        <v>1</v>
      </c>
    </row>
    <row r="15" spans="1:25" x14ac:dyDescent="0.25">
      <c r="A15" s="10">
        <v>44575</v>
      </c>
      <c r="B15" s="11">
        <v>0.31714120370370369</v>
      </c>
      <c r="C15" s="11">
        <v>0.66204861111111113</v>
      </c>
      <c r="D15" s="12">
        <v>1</v>
      </c>
      <c r="E15" s="12">
        <v>7.36</v>
      </c>
      <c r="F15" s="12">
        <v>2.2200000000000002</v>
      </c>
      <c r="G15" s="13">
        <v>2.56</v>
      </c>
      <c r="H15">
        <f t="shared" si="4"/>
        <v>0</v>
      </c>
      <c r="I15">
        <f t="shared" si="5"/>
        <v>0</v>
      </c>
      <c r="J15">
        <f t="shared" si="6"/>
        <v>0</v>
      </c>
      <c r="K15">
        <f t="shared" si="7"/>
        <v>0</v>
      </c>
    </row>
    <row r="16" spans="1:25" x14ac:dyDescent="0.25">
      <c r="A16" s="6">
        <v>44576</v>
      </c>
      <c r="B16" s="7">
        <v>0.31655092592592593</v>
      </c>
      <c r="C16" s="7">
        <v>0.66313657407407411</v>
      </c>
      <c r="D16" s="8">
        <v>5</v>
      </c>
      <c r="E16" s="8">
        <v>2.11</v>
      </c>
      <c r="F16" s="8">
        <v>0.45</v>
      </c>
      <c r="G16" s="9">
        <v>2.21</v>
      </c>
      <c r="H16">
        <f t="shared" si="4"/>
        <v>0</v>
      </c>
      <c r="I16">
        <f t="shared" si="5"/>
        <v>0</v>
      </c>
      <c r="J16">
        <f t="shared" si="6"/>
        <v>0</v>
      </c>
      <c r="K16">
        <f t="shared" si="7"/>
        <v>0</v>
      </c>
    </row>
    <row r="17" spans="1:11" x14ac:dyDescent="0.25">
      <c r="A17" s="10">
        <v>44577</v>
      </c>
      <c r="B17" s="11">
        <v>0.31592592592592594</v>
      </c>
      <c r="C17" s="11">
        <v>0.66424768518518518</v>
      </c>
      <c r="D17" s="12">
        <v>3</v>
      </c>
      <c r="E17" s="12">
        <v>5.31</v>
      </c>
      <c r="F17" s="12">
        <v>3.45</v>
      </c>
      <c r="G17" s="13">
        <v>1.22</v>
      </c>
      <c r="H17">
        <f t="shared" si="4"/>
        <v>1</v>
      </c>
      <c r="I17">
        <f t="shared" si="5"/>
        <v>1</v>
      </c>
      <c r="J17">
        <f t="shared" si="6"/>
        <v>1</v>
      </c>
      <c r="K17">
        <f t="shared" si="7"/>
        <v>1</v>
      </c>
    </row>
    <row r="18" spans="1:11" x14ac:dyDescent="0.25">
      <c r="A18" s="6">
        <v>44578</v>
      </c>
      <c r="B18" s="7">
        <v>0.31526620370370373</v>
      </c>
      <c r="C18" s="7">
        <v>0.66537037037037039</v>
      </c>
      <c r="D18" s="8">
        <v>2</v>
      </c>
      <c r="E18" s="8">
        <v>5.93</v>
      </c>
      <c r="F18" s="8">
        <v>1.25</v>
      </c>
      <c r="G18" s="9">
        <v>3.34</v>
      </c>
      <c r="H18">
        <f t="shared" si="4"/>
        <v>1</v>
      </c>
      <c r="I18">
        <f t="shared" si="5"/>
        <v>1</v>
      </c>
      <c r="J18">
        <f t="shared" si="6"/>
        <v>1</v>
      </c>
      <c r="K18">
        <f t="shared" si="7"/>
        <v>2</v>
      </c>
    </row>
    <row r="19" spans="1:11" x14ac:dyDescent="0.25">
      <c r="A19" s="10">
        <v>44579</v>
      </c>
      <c r="B19" s="11">
        <v>0.31457175925925923</v>
      </c>
      <c r="C19" s="11">
        <v>0.66650462962962964</v>
      </c>
      <c r="D19" s="12">
        <v>6</v>
      </c>
      <c r="E19" s="12">
        <v>2.19</v>
      </c>
      <c r="F19" s="12">
        <v>0.21</v>
      </c>
      <c r="G19" s="13">
        <v>3.22</v>
      </c>
      <c r="H19">
        <f t="shared" si="4"/>
        <v>0</v>
      </c>
      <c r="I19">
        <f t="shared" si="5"/>
        <v>0</v>
      </c>
      <c r="J19">
        <f t="shared" si="6"/>
        <v>0</v>
      </c>
      <c r="K19">
        <f t="shared" si="7"/>
        <v>0</v>
      </c>
    </row>
    <row r="20" spans="1:11" x14ac:dyDescent="0.25">
      <c r="A20" s="6">
        <v>44580</v>
      </c>
      <c r="B20" s="7">
        <v>0.31384259259259262</v>
      </c>
      <c r="C20" s="7">
        <v>0.66766203703703708</v>
      </c>
      <c r="D20" s="8">
        <v>4</v>
      </c>
      <c r="E20" s="8">
        <v>3.53</v>
      </c>
      <c r="F20" s="8">
        <v>0.34</v>
      </c>
      <c r="G20" s="9">
        <v>1.25</v>
      </c>
      <c r="H20">
        <f t="shared" si="4"/>
        <v>1</v>
      </c>
      <c r="I20">
        <f t="shared" si="5"/>
        <v>1</v>
      </c>
      <c r="J20">
        <f t="shared" si="6"/>
        <v>1</v>
      </c>
      <c r="K20">
        <f t="shared" si="7"/>
        <v>1</v>
      </c>
    </row>
    <row r="21" spans="1:11" x14ac:dyDescent="0.25">
      <c r="A21" s="10">
        <v>44581</v>
      </c>
      <c r="B21" s="11">
        <v>0.31309027777777776</v>
      </c>
      <c r="C21" s="11">
        <v>0.66883101851851856</v>
      </c>
      <c r="D21" s="12">
        <v>3</v>
      </c>
      <c r="E21" s="12">
        <v>4.33</v>
      </c>
      <c r="F21" s="12">
        <v>0.99</v>
      </c>
      <c r="G21" s="13">
        <v>0.21</v>
      </c>
      <c r="H21">
        <f t="shared" si="4"/>
        <v>1</v>
      </c>
      <c r="I21">
        <f t="shared" si="5"/>
        <v>1</v>
      </c>
      <c r="J21">
        <f t="shared" si="6"/>
        <v>1</v>
      </c>
      <c r="K21">
        <f t="shared" si="7"/>
        <v>2</v>
      </c>
    </row>
    <row r="22" spans="1:11" x14ac:dyDescent="0.25">
      <c r="A22" s="6">
        <v>44582</v>
      </c>
      <c r="B22" s="7">
        <v>0.31230324074074073</v>
      </c>
      <c r="C22" s="7">
        <v>0.67002314814814812</v>
      </c>
      <c r="D22" s="8">
        <v>6</v>
      </c>
      <c r="E22" s="8">
        <v>2.33</v>
      </c>
      <c r="F22" s="8">
        <v>0.02</v>
      </c>
      <c r="G22" s="9">
        <v>2.61</v>
      </c>
      <c r="H22">
        <f t="shared" si="4"/>
        <v>0</v>
      </c>
      <c r="I22">
        <f t="shared" si="5"/>
        <v>0</v>
      </c>
      <c r="J22">
        <f t="shared" si="6"/>
        <v>0</v>
      </c>
      <c r="K22">
        <f t="shared" si="7"/>
        <v>0</v>
      </c>
    </row>
    <row r="23" spans="1:11" x14ac:dyDescent="0.25">
      <c r="A23" s="10">
        <v>44583</v>
      </c>
      <c r="B23" s="11">
        <v>0.31148148148148147</v>
      </c>
      <c r="C23" s="11">
        <v>0.67121527777777779</v>
      </c>
      <c r="D23" s="12">
        <v>6</v>
      </c>
      <c r="E23" s="12">
        <v>3.21</v>
      </c>
      <c r="F23" s="12">
        <v>0.78</v>
      </c>
      <c r="G23" s="13">
        <v>2.2200000000000002</v>
      </c>
      <c r="H23">
        <f t="shared" si="4"/>
        <v>1</v>
      </c>
      <c r="I23">
        <f t="shared" si="5"/>
        <v>1</v>
      </c>
      <c r="J23">
        <f t="shared" si="6"/>
        <v>1</v>
      </c>
      <c r="K23">
        <f t="shared" si="7"/>
        <v>1</v>
      </c>
    </row>
    <row r="24" spans="1:11" x14ac:dyDescent="0.25">
      <c r="A24" s="6">
        <v>44584</v>
      </c>
      <c r="B24" s="7">
        <v>0.31063657407407408</v>
      </c>
      <c r="C24" s="7">
        <v>0.67243055555555553</v>
      </c>
      <c r="D24" s="8">
        <v>5</v>
      </c>
      <c r="E24" s="8">
        <v>4.0199999999999996</v>
      </c>
      <c r="F24" s="8">
        <v>2.0099999999999998</v>
      </c>
      <c r="G24" s="9">
        <v>1.01</v>
      </c>
      <c r="H24">
        <f t="shared" si="4"/>
        <v>1</v>
      </c>
      <c r="I24">
        <f t="shared" si="5"/>
        <v>1</v>
      </c>
      <c r="J24">
        <f t="shared" si="6"/>
        <v>1</v>
      </c>
      <c r="K24">
        <f t="shared" si="7"/>
        <v>2</v>
      </c>
    </row>
    <row r="25" spans="1:11" x14ac:dyDescent="0.25">
      <c r="A25" s="10">
        <v>44585</v>
      </c>
      <c r="B25" s="11">
        <v>0.30975694444444446</v>
      </c>
      <c r="C25" s="11">
        <v>0.67364583333333339</v>
      </c>
      <c r="D25" s="12">
        <v>4</v>
      </c>
      <c r="E25" s="12">
        <v>4.45</v>
      </c>
      <c r="F25" s="12">
        <v>2.34</v>
      </c>
      <c r="G25" s="13">
        <v>1.95</v>
      </c>
      <c r="H25">
        <f t="shared" si="4"/>
        <v>1</v>
      </c>
      <c r="I25">
        <f t="shared" si="5"/>
        <v>1</v>
      </c>
      <c r="J25">
        <f t="shared" si="6"/>
        <v>1</v>
      </c>
      <c r="K25">
        <f t="shared" si="7"/>
        <v>3</v>
      </c>
    </row>
    <row r="26" spans="1:11" x14ac:dyDescent="0.25">
      <c r="A26" s="6">
        <v>44586</v>
      </c>
      <c r="B26" s="7">
        <v>0.30884259259259261</v>
      </c>
      <c r="C26" s="7">
        <v>0.67487268518518517</v>
      </c>
      <c r="D26" s="8">
        <v>3</v>
      </c>
      <c r="E26" s="8">
        <v>5.52</v>
      </c>
      <c r="F26" s="8">
        <v>2.21</v>
      </c>
      <c r="G26" s="9">
        <v>1.21</v>
      </c>
      <c r="H26">
        <f t="shared" si="4"/>
        <v>1</v>
      </c>
      <c r="I26">
        <f t="shared" si="5"/>
        <v>1</v>
      </c>
      <c r="J26">
        <f t="shared" si="6"/>
        <v>1</v>
      </c>
      <c r="K26">
        <f t="shared" si="7"/>
        <v>4</v>
      </c>
    </row>
    <row r="27" spans="1:11" x14ac:dyDescent="0.25">
      <c r="A27" s="10">
        <v>44587</v>
      </c>
      <c r="B27" s="11">
        <v>0.30791666666666667</v>
      </c>
      <c r="C27" s="11">
        <v>0.67612268518518515</v>
      </c>
      <c r="D27" s="12">
        <v>2</v>
      </c>
      <c r="E27" s="12">
        <v>5.1100000000000003</v>
      </c>
      <c r="F27" s="12">
        <v>2.02</v>
      </c>
      <c r="G27" s="13">
        <v>1.35</v>
      </c>
      <c r="H27">
        <f t="shared" si="4"/>
        <v>1</v>
      </c>
      <c r="I27">
        <f t="shared" si="5"/>
        <v>0</v>
      </c>
      <c r="J27">
        <f t="shared" si="6"/>
        <v>0</v>
      </c>
      <c r="K27">
        <f t="shared" si="7"/>
        <v>0</v>
      </c>
    </row>
    <row r="28" spans="1:11" x14ac:dyDescent="0.25">
      <c r="A28" s="6">
        <v>44588</v>
      </c>
      <c r="B28" s="7">
        <v>0.3069560185185185</v>
      </c>
      <c r="C28" s="7">
        <v>0.67737268518518523</v>
      </c>
      <c r="D28" s="8">
        <v>1</v>
      </c>
      <c r="E28" s="8">
        <v>4.97</v>
      </c>
      <c r="F28" s="8">
        <v>1.92</v>
      </c>
      <c r="G28" s="9">
        <v>2.0099999999999998</v>
      </c>
      <c r="H28">
        <f t="shared" si="4"/>
        <v>1</v>
      </c>
      <c r="I28">
        <f t="shared" si="5"/>
        <v>0</v>
      </c>
      <c r="J28">
        <f t="shared" si="6"/>
        <v>0</v>
      </c>
      <c r="K28">
        <f t="shared" si="7"/>
        <v>0</v>
      </c>
    </row>
    <row r="29" spans="1:11" x14ac:dyDescent="0.25">
      <c r="A29" s="10">
        <v>44589</v>
      </c>
      <c r="B29" s="11">
        <v>0.30596064814814816</v>
      </c>
      <c r="C29" s="11">
        <v>0.6786226851851852</v>
      </c>
      <c r="D29" s="12">
        <v>1</v>
      </c>
      <c r="E29" s="12">
        <v>5.67</v>
      </c>
      <c r="F29" s="12">
        <v>3.21</v>
      </c>
      <c r="G29" s="13">
        <v>1.01</v>
      </c>
      <c r="H29">
        <f t="shared" si="4"/>
        <v>1</v>
      </c>
      <c r="I29">
        <f t="shared" si="5"/>
        <v>1</v>
      </c>
      <c r="J29">
        <f t="shared" si="6"/>
        <v>1</v>
      </c>
      <c r="K29">
        <f t="shared" si="7"/>
        <v>1</v>
      </c>
    </row>
    <row r="30" spans="1:11" x14ac:dyDescent="0.25">
      <c r="A30" s="6">
        <v>44590</v>
      </c>
      <c r="B30" s="7">
        <v>0.30494212962962963</v>
      </c>
      <c r="C30" s="7">
        <v>0.67988425925925922</v>
      </c>
      <c r="D30" s="8">
        <v>1</v>
      </c>
      <c r="E30" s="8">
        <v>5.76</v>
      </c>
      <c r="F30" s="8">
        <v>3.33</v>
      </c>
      <c r="G30" s="9">
        <v>2.0099999999999998</v>
      </c>
      <c r="H30">
        <f t="shared" si="4"/>
        <v>1</v>
      </c>
      <c r="I30">
        <f t="shared" si="5"/>
        <v>1</v>
      </c>
      <c r="J30">
        <f t="shared" si="6"/>
        <v>1</v>
      </c>
      <c r="K30">
        <f t="shared" si="7"/>
        <v>2</v>
      </c>
    </row>
    <row r="31" spans="1:11" x14ac:dyDescent="0.25">
      <c r="A31" s="10">
        <v>44591</v>
      </c>
      <c r="B31" s="11">
        <v>0.30391203703703706</v>
      </c>
      <c r="C31" s="11">
        <v>0.68115740740740738</v>
      </c>
      <c r="D31" s="12">
        <v>2</v>
      </c>
      <c r="E31" s="12">
        <v>5.97</v>
      </c>
      <c r="F31" s="12">
        <v>3.48</v>
      </c>
      <c r="G31" s="13">
        <v>1.93</v>
      </c>
      <c r="H31">
        <f t="shared" si="4"/>
        <v>0</v>
      </c>
      <c r="I31">
        <f t="shared" si="5"/>
        <v>1</v>
      </c>
      <c r="J31">
        <f t="shared" si="6"/>
        <v>0</v>
      </c>
      <c r="K31">
        <f t="shared" si="7"/>
        <v>0</v>
      </c>
    </row>
    <row r="32" spans="1:11" x14ac:dyDescent="0.25">
      <c r="A32" s="6">
        <v>44592</v>
      </c>
      <c r="B32" s="7">
        <v>0.30284722222222221</v>
      </c>
      <c r="C32" s="7">
        <v>0.68243055555555554</v>
      </c>
      <c r="D32" s="8">
        <v>1</v>
      </c>
      <c r="E32" s="8">
        <v>6.01</v>
      </c>
      <c r="F32" s="8">
        <v>2.34</v>
      </c>
      <c r="G32" s="9">
        <v>0.94</v>
      </c>
      <c r="H32">
        <f t="shared" si="4"/>
        <v>1</v>
      </c>
      <c r="I32">
        <f t="shared" si="5"/>
        <v>1</v>
      </c>
      <c r="J32">
        <f t="shared" si="6"/>
        <v>1</v>
      </c>
      <c r="K32">
        <f t="shared" si="7"/>
        <v>1</v>
      </c>
    </row>
    <row r="33" spans="1:11" x14ac:dyDescent="0.25">
      <c r="A33" s="10">
        <v>44593</v>
      </c>
      <c r="B33" s="11">
        <v>0.30175925925925928</v>
      </c>
      <c r="C33" s="11">
        <v>0.68371527777777774</v>
      </c>
      <c r="D33" s="12">
        <v>1</v>
      </c>
      <c r="E33" s="12">
        <v>6.18</v>
      </c>
      <c r="F33" s="12">
        <v>1.34</v>
      </c>
      <c r="G33" s="13">
        <v>1.28</v>
      </c>
      <c r="H33">
        <f t="shared" si="4"/>
        <v>1</v>
      </c>
      <c r="I33">
        <f t="shared" si="5"/>
        <v>1</v>
      </c>
      <c r="J33">
        <f t="shared" si="6"/>
        <v>1</v>
      </c>
      <c r="K33">
        <f t="shared" si="7"/>
        <v>2</v>
      </c>
    </row>
    <row r="34" spans="1:11" x14ac:dyDescent="0.25">
      <c r="A34" s="6">
        <v>44594</v>
      </c>
      <c r="B34" s="7">
        <v>0.30064814814814816</v>
      </c>
      <c r="C34" s="7">
        <v>0.68500000000000005</v>
      </c>
      <c r="D34" s="8">
        <v>1</v>
      </c>
      <c r="E34" s="8">
        <v>7.25</v>
      </c>
      <c r="F34" s="8">
        <v>1.57</v>
      </c>
      <c r="G34" s="9">
        <v>1.01</v>
      </c>
      <c r="H34">
        <f t="shared" si="4"/>
        <v>1</v>
      </c>
      <c r="I34">
        <f t="shared" si="5"/>
        <v>1</v>
      </c>
      <c r="J34">
        <f t="shared" si="6"/>
        <v>1</v>
      </c>
      <c r="K34">
        <f t="shared" si="7"/>
        <v>3</v>
      </c>
    </row>
    <row r="35" spans="1:11" x14ac:dyDescent="0.25">
      <c r="A35" s="10">
        <v>44595</v>
      </c>
      <c r="B35" s="11">
        <v>0.29951388888888891</v>
      </c>
      <c r="C35" s="11">
        <v>0.68629629629629629</v>
      </c>
      <c r="D35" s="12">
        <v>4</v>
      </c>
      <c r="E35" s="12">
        <v>3.63</v>
      </c>
      <c r="F35" s="12">
        <v>1.21</v>
      </c>
      <c r="G35" s="13">
        <v>2.25</v>
      </c>
      <c r="H35">
        <f t="shared" si="4"/>
        <v>0</v>
      </c>
      <c r="I35">
        <f t="shared" si="5"/>
        <v>0</v>
      </c>
      <c r="J35">
        <f t="shared" si="6"/>
        <v>0</v>
      </c>
      <c r="K35">
        <f t="shared" si="7"/>
        <v>0</v>
      </c>
    </row>
    <row r="36" spans="1:11" x14ac:dyDescent="0.25">
      <c r="A36" s="6">
        <v>44596</v>
      </c>
      <c r="B36" s="7">
        <v>0.29835648148148147</v>
      </c>
      <c r="C36" s="7">
        <v>0.68758101851851849</v>
      </c>
      <c r="D36" s="8">
        <v>1</v>
      </c>
      <c r="E36" s="8">
        <v>7.8</v>
      </c>
      <c r="F36" s="8">
        <v>3.34</v>
      </c>
      <c r="G36" s="9">
        <v>2.94</v>
      </c>
      <c r="H36">
        <f t="shared" si="4"/>
        <v>1</v>
      </c>
      <c r="I36">
        <f t="shared" si="5"/>
        <v>1</v>
      </c>
      <c r="J36">
        <f t="shared" si="6"/>
        <v>1</v>
      </c>
      <c r="K36">
        <f t="shared" si="7"/>
        <v>1</v>
      </c>
    </row>
    <row r="37" spans="1:11" x14ac:dyDescent="0.25">
      <c r="A37" s="10">
        <v>44597</v>
      </c>
      <c r="B37" s="11">
        <v>0.2971759259259259</v>
      </c>
      <c r="C37" s="11">
        <v>0.68887731481481485</v>
      </c>
      <c r="D37" s="12">
        <v>2</v>
      </c>
      <c r="E37" s="12">
        <v>5.0199999999999996</v>
      </c>
      <c r="F37" s="12">
        <v>2.13</v>
      </c>
      <c r="G37" s="13">
        <v>3.1</v>
      </c>
      <c r="H37">
        <f t="shared" si="4"/>
        <v>0</v>
      </c>
      <c r="I37">
        <f t="shared" si="5"/>
        <v>0</v>
      </c>
      <c r="J37">
        <f t="shared" si="6"/>
        <v>0</v>
      </c>
      <c r="K37">
        <f t="shared" si="7"/>
        <v>0</v>
      </c>
    </row>
    <row r="38" spans="1:11" x14ac:dyDescent="0.25">
      <c r="A38" s="6">
        <v>44598</v>
      </c>
      <c r="B38" s="7">
        <v>0.29597222222222225</v>
      </c>
      <c r="C38" s="7">
        <v>0.69017361111111108</v>
      </c>
      <c r="D38" s="8">
        <v>1</v>
      </c>
      <c r="E38" s="8">
        <v>6.87</v>
      </c>
      <c r="F38" s="8">
        <v>2.89</v>
      </c>
      <c r="G38" s="9">
        <v>3.34</v>
      </c>
      <c r="H38">
        <f t="shared" si="4"/>
        <v>1</v>
      </c>
      <c r="I38">
        <f t="shared" si="5"/>
        <v>1</v>
      </c>
      <c r="J38">
        <f t="shared" si="6"/>
        <v>1</v>
      </c>
      <c r="K38">
        <f t="shared" si="7"/>
        <v>1</v>
      </c>
    </row>
    <row r="39" spans="1:11" x14ac:dyDescent="0.25">
      <c r="A39" s="10">
        <v>44599</v>
      </c>
      <c r="B39" s="11">
        <v>0.29475694444444445</v>
      </c>
      <c r="C39" s="11">
        <v>0.69148148148148147</v>
      </c>
      <c r="D39" s="12">
        <v>1</v>
      </c>
      <c r="E39" s="12">
        <v>7.59</v>
      </c>
      <c r="F39" s="12">
        <v>2.56</v>
      </c>
      <c r="G39" s="13">
        <v>2.78</v>
      </c>
      <c r="H39">
        <f t="shared" si="4"/>
        <v>1</v>
      </c>
      <c r="I39">
        <f t="shared" si="5"/>
        <v>1</v>
      </c>
      <c r="J39">
        <f t="shared" si="6"/>
        <v>1</v>
      </c>
      <c r="K39">
        <f t="shared" si="7"/>
        <v>2</v>
      </c>
    </row>
    <row r="40" spans="1:11" x14ac:dyDescent="0.25">
      <c r="A40" s="6">
        <v>44600</v>
      </c>
      <c r="B40" s="7">
        <v>0.29351851851851851</v>
      </c>
      <c r="C40" s="7">
        <v>0.69277777777777783</v>
      </c>
      <c r="D40" s="8">
        <v>1</v>
      </c>
      <c r="E40" s="8">
        <v>7.84</v>
      </c>
      <c r="F40" s="8">
        <v>2.63</v>
      </c>
      <c r="G40" s="9">
        <v>2.19</v>
      </c>
      <c r="H40">
        <f t="shared" si="4"/>
        <v>1</v>
      </c>
      <c r="I40">
        <f t="shared" si="5"/>
        <v>1</v>
      </c>
      <c r="J40">
        <f t="shared" si="6"/>
        <v>1</v>
      </c>
      <c r="K40">
        <f t="shared" si="7"/>
        <v>3</v>
      </c>
    </row>
    <row r="41" spans="1:11" x14ac:dyDescent="0.25">
      <c r="A41" s="10">
        <v>44601</v>
      </c>
      <c r="B41" s="11">
        <v>0.29226851851851854</v>
      </c>
      <c r="C41" s="11">
        <v>0.6940856481481481</v>
      </c>
      <c r="D41" s="12">
        <v>6</v>
      </c>
      <c r="E41" s="12">
        <v>2.93</v>
      </c>
      <c r="F41" s="12">
        <v>1.1299999999999999</v>
      </c>
      <c r="G41" s="13">
        <v>3.1</v>
      </c>
      <c r="H41">
        <f t="shared" si="4"/>
        <v>0</v>
      </c>
      <c r="I41">
        <f t="shared" si="5"/>
        <v>0</v>
      </c>
      <c r="J41">
        <f t="shared" si="6"/>
        <v>0</v>
      </c>
      <c r="K41">
        <f t="shared" si="7"/>
        <v>0</v>
      </c>
    </row>
    <row r="42" spans="1:11" x14ac:dyDescent="0.25">
      <c r="A42" s="6">
        <v>44602</v>
      </c>
      <c r="B42" s="7">
        <v>0.29098379629629628</v>
      </c>
      <c r="C42" s="7">
        <v>0.69538194444444446</v>
      </c>
      <c r="D42" s="8">
        <v>7</v>
      </c>
      <c r="E42" s="8">
        <v>1.24</v>
      </c>
      <c r="F42" s="8">
        <v>0.3</v>
      </c>
      <c r="G42" s="9">
        <v>2.14</v>
      </c>
      <c r="H42">
        <f t="shared" si="4"/>
        <v>0</v>
      </c>
      <c r="I42">
        <f t="shared" si="5"/>
        <v>0</v>
      </c>
      <c r="J42">
        <f t="shared" si="6"/>
        <v>0</v>
      </c>
      <c r="K42">
        <f t="shared" si="7"/>
        <v>0</v>
      </c>
    </row>
    <row r="43" spans="1:11" x14ac:dyDescent="0.25">
      <c r="A43" s="10">
        <v>44603</v>
      </c>
      <c r="B43" s="11">
        <v>0.28969907407407408</v>
      </c>
      <c r="C43" s="11">
        <v>0.69668981481481485</v>
      </c>
      <c r="D43" s="12">
        <v>8</v>
      </c>
      <c r="E43" s="12">
        <v>0.26</v>
      </c>
      <c r="F43" s="12">
        <v>0</v>
      </c>
      <c r="G43" s="13">
        <v>4.8600000000000003</v>
      </c>
      <c r="H43">
        <f t="shared" si="4"/>
        <v>0</v>
      </c>
      <c r="I43">
        <f t="shared" si="5"/>
        <v>0</v>
      </c>
      <c r="J43">
        <f t="shared" si="6"/>
        <v>0</v>
      </c>
      <c r="K43">
        <f t="shared" si="7"/>
        <v>0</v>
      </c>
    </row>
    <row r="44" spans="1:11" x14ac:dyDescent="0.25">
      <c r="A44" s="6">
        <v>44604</v>
      </c>
      <c r="B44" s="7">
        <v>0.28837962962962965</v>
      </c>
      <c r="C44" s="7">
        <v>0.69798611111111108</v>
      </c>
      <c r="D44" s="8">
        <v>2</v>
      </c>
      <c r="E44" s="8">
        <v>5.79</v>
      </c>
      <c r="F44" s="8">
        <v>1.7</v>
      </c>
      <c r="G44" s="9">
        <v>0.8</v>
      </c>
      <c r="H44">
        <f t="shared" si="4"/>
        <v>1</v>
      </c>
      <c r="I44">
        <f t="shared" si="5"/>
        <v>1</v>
      </c>
      <c r="J44">
        <f t="shared" si="6"/>
        <v>1</v>
      </c>
      <c r="K44">
        <f t="shared" si="7"/>
        <v>1</v>
      </c>
    </row>
    <row r="45" spans="1:11" x14ac:dyDescent="0.25">
      <c r="A45" s="10">
        <v>44605</v>
      </c>
      <c r="B45" s="11">
        <v>0.28706018518518517</v>
      </c>
      <c r="C45" s="11">
        <v>0.69928240740740744</v>
      </c>
      <c r="D45" s="12">
        <v>3</v>
      </c>
      <c r="E45" s="12">
        <v>5.26</v>
      </c>
      <c r="F45" s="12">
        <v>1.42</v>
      </c>
      <c r="G45" s="13">
        <v>2.34</v>
      </c>
      <c r="H45">
        <f t="shared" si="4"/>
        <v>0</v>
      </c>
      <c r="I45">
        <f t="shared" si="5"/>
        <v>0</v>
      </c>
      <c r="J45">
        <f t="shared" si="6"/>
        <v>0</v>
      </c>
      <c r="K45">
        <f t="shared" si="7"/>
        <v>0</v>
      </c>
    </row>
    <row r="46" spans="1:11" x14ac:dyDescent="0.25">
      <c r="A46" s="6">
        <v>44606</v>
      </c>
      <c r="B46" s="7">
        <v>0.28570601851851851</v>
      </c>
      <c r="C46" s="7">
        <v>0.70059027777777783</v>
      </c>
      <c r="D46" s="8">
        <v>2</v>
      </c>
      <c r="E46" s="8">
        <v>5.62</v>
      </c>
      <c r="F46" s="8">
        <v>2.41</v>
      </c>
      <c r="G46" s="9">
        <v>2.59</v>
      </c>
      <c r="H46">
        <f t="shared" si="4"/>
        <v>1</v>
      </c>
      <c r="I46">
        <f t="shared" si="5"/>
        <v>1</v>
      </c>
      <c r="J46">
        <f t="shared" si="6"/>
        <v>1</v>
      </c>
      <c r="K46">
        <f t="shared" si="7"/>
        <v>1</v>
      </c>
    </row>
    <row r="47" spans="1:11" x14ac:dyDescent="0.25">
      <c r="A47" s="10">
        <v>44607</v>
      </c>
      <c r="B47" s="11">
        <v>0.28435185185185186</v>
      </c>
      <c r="C47" s="11">
        <v>0.70188657407407407</v>
      </c>
      <c r="D47" s="12">
        <v>4</v>
      </c>
      <c r="E47" s="12">
        <v>3.58</v>
      </c>
      <c r="F47" s="12">
        <v>1.63</v>
      </c>
      <c r="G47" s="13">
        <v>3.21</v>
      </c>
      <c r="H47">
        <f t="shared" si="4"/>
        <v>0</v>
      </c>
      <c r="I47">
        <f t="shared" si="5"/>
        <v>0</v>
      </c>
      <c r="J47">
        <f t="shared" si="6"/>
        <v>0</v>
      </c>
      <c r="K47">
        <f t="shared" si="7"/>
        <v>0</v>
      </c>
    </row>
    <row r="48" spans="1:11" x14ac:dyDescent="0.25">
      <c r="A48" s="6">
        <v>44608</v>
      </c>
      <c r="B48" s="7">
        <v>0.28297453703703701</v>
      </c>
      <c r="C48" s="7">
        <v>0.70318287037037042</v>
      </c>
      <c r="D48" s="8">
        <v>7</v>
      </c>
      <c r="E48" s="8">
        <v>1.1599999999999999</v>
      </c>
      <c r="F48" s="8">
        <v>0.25</v>
      </c>
      <c r="G48" s="9">
        <v>2.1</v>
      </c>
      <c r="H48">
        <f t="shared" si="4"/>
        <v>0</v>
      </c>
      <c r="I48">
        <f t="shared" si="5"/>
        <v>0</v>
      </c>
      <c r="J48">
        <f t="shared" si="6"/>
        <v>0</v>
      </c>
      <c r="K48">
        <f t="shared" si="7"/>
        <v>0</v>
      </c>
    </row>
    <row r="49" spans="1:11" x14ac:dyDescent="0.25">
      <c r="A49" s="10">
        <v>44609</v>
      </c>
      <c r="B49" s="11">
        <v>0.28158564814814813</v>
      </c>
      <c r="C49" s="11">
        <v>0.70447916666666666</v>
      </c>
      <c r="D49" s="12">
        <v>1</v>
      </c>
      <c r="E49" s="12">
        <v>8.59</v>
      </c>
      <c r="F49" s="12">
        <v>3.68</v>
      </c>
      <c r="G49" s="13">
        <v>2.36</v>
      </c>
      <c r="H49">
        <f t="shared" si="4"/>
        <v>1</v>
      </c>
      <c r="I49">
        <f t="shared" si="5"/>
        <v>1</v>
      </c>
      <c r="J49">
        <f t="shared" si="6"/>
        <v>1</v>
      </c>
      <c r="K49">
        <f t="shared" si="7"/>
        <v>1</v>
      </c>
    </row>
    <row r="50" spans="1:11" x14ac:dyDescent="0.25">
      <c r="A50" s="6">
        <v>44610</v>
      </c>
      <c r="B50" s="7">
        <v>0.2801851851851852</v>
      </c>
      <c r="C50" s="7">
        <v>0.70576388888888886</v>
      </c>
      <c r="D50" s="8">
        <v>3</v>
      </c>
      <c r="E50" s="8">
        <v>4.24</v>
      </c>
      <c r="F50" s="8">
        <v>1.27</v>
      </c>
      <c r="G50" s="9">
        <v>3.09</v>
      </c>
      <c r="H50">
        <f t="shared" si="4"/>
        <v>0</v>
      </c>
      <c r="I50">
        <f t="shared" si="5"/>
        <v>0</v>
      </c>
      <c r="J50">
        <f t="shared" si="6"/>
        <v>0</v>
      </c>
      <c r="K50">
        <f t="shared" si="7"/>
        <v>0</v>
      </c>
    </row>
    <row r="51" spans="1:11" x14ac:dyDescent="0.25">
      <c r="A51" s="10">
        <v>44611</v>
      </c>
      <c r="B51" s="11">
        <v>0.27877314814814813</v>
      </c>
      <c r="C51" s="11">
        <v>0.70706018518518521</v>
      </c>
      <c r="D51" s="12">
        <v>6</v>
      </c>
      <c r="E51" s="12">
        <v>2.1800000000000002</v>
      </c>
      <c r="F51" s="12">
        <v>0.9</v>
      </c>
      <c r="G51" s="13">
        <v>3.17</v>
      </c>
      <c r="H51">
        <f t="shared" si="4"/>
        <v>0</v>
      </c>
      <c r="I51">
        <f t="shared" si="5"/>
        <v>0</v>
      </c>
      <c r="J51">
        <f t="shared" si="6"/>
        <v>0</v>
      </c>
      <c r="K51">
        <f t="shared" si="7"/>
        <v>0</v>
      </c>
    </row>
    <row r="52" spans="1:11" x14ac:dyDescent="0.25">
      <c r="A52" s="6">
        <v>44612</v>
      </c>
      <c r="B52" s="7">
        <v>0.27733796296296298</v>
      </c>
      <c r="C52" s="7">
        <v>0.70834490740740741</v>
      </c>
      <c r="D52" s="8">
        <v>0</v>
      </c>
      <c r="E52" s="8">
        <v>9.14</v>
      </c>
      <c r="F52" s="8">
        <v>2.74</v>
      </c>
      <c r="G52" s="9">
        <v>1.96</v>
      </c>
      <c r="H52">
        <f t="shared" si="4"/>
        <v>1</v>
      </c>
      <c r="I52">
        <f t="shared" si="5"/>
        <v>1</v>
      </c>
      <c r="J52">
        <f t="shared" si="6"/>
        <v>1</v>
      </c>
      <c r="K52">
        <f t="shared" si="7"/>
        <v>1</v>
      </c>
    </row>
    <row r="53" spans="1:11" x14ac:dyDescent="0.25">
      <c r="A53" s="10">
        <v>44613</v>
      </c>
      <c r="B53" s="11">
        <v>0.27590277777777777</v>
      </c>
      <c r="C53" s="11">
        <v>0.70962962962962961</v>
      </c>
      <c r="D53" s="12">
        <v>0</v>
      </c>
      <c r="E53" s="12">
        <v>9.85</v>
      </c>
      <c r="F53" s="12">
        <v>3.02</v>
      </c>
      <c r="G53" s="13">
        <v>2.46</v>
      </c>
      <c r="H53">
        <f t="shared" si="4"/>
        <v>1</v>
      </c>
      <c r="I53">
        <f t="shared" si="5"/>
        <v>1</v>
      </c>
      <c r="J53">
        <f t="shared" si="6"/>
        <v>1</v>
      </c>
      <c r="K53">
        <f t="shared" si="7"/>
        <v>2</v>
      </c>
    </row>
    <row r="54" spans="1:11" x14ac:dyDescent="0.25">
      <c r="A54" s="6">
        <v>44614</v>
      </c>
      <c r="B54" s="7">
        <v>0.27444444444444444</v>
      </c>
      <c r="C54" s="7">
        <v>0.71091435185185181</v>
      </c>
      <c r="D54" s="8">
        <v>1</v>
      </c>
      <c r="E54" s="8">
        <v>9.2899999999999991</v>
      </c>
      <c r="F54" s="8">
        <v>2.79</v>
      </c>
      <c r="G54" s="9">
        <v>1.49</v>
      </c>
      <c r="H54">
        <f t="shared" si="4"/>
        <v>0</v>
      </c>
      <c r="I54">
        <f t="shared" si="5"/>
        <v>0</v>
      </c>
      <c r="J54">
        <f t="shared" si="6"/>
        <v>0</v>
      </c>
      <c r="K54">
        <f t="shared" si="7"/>
        <v>0</v>
      </c>
    </row>
    <row r="55" spans="1:11" x14ac:dyDescent="0.25">
      <c r="A55" s="10">
        <v>44615</v>
      </c>
      <c r="B55" s="11">
        <v>0.27297453703703706</v>
      </c>
      <c r="C55" s="11">
        <v>0.71219907407407412</v>
      </c>
      <c r="D55" s="12">
        <v>4</v>
      </c>
      <c r="E55" s="12">
        <v>2.57</v>
      </c>
      <c r="F55" s="12">
        <v>0.76</v>
      </c>
      <c r="G55" s="13">
        <v>4.03</v>
      </c>
      <c r="H55">
        <f t="shared" si="4"/>
        <v>0</v>
      </c>
      <c r="I55">
        <f t="shared" si="5"/>
        <v>0</v>
      </c>
      <c r="J55">
        <f t="shared" si="6"/>
        <v>0</v>
      </c>
      <c r="K55">
        <f t="shared" si="7"/>
        <v>0</v>
      </c>
    </row>
    <row r="56" spans="1:11" x14ac:dyDescent="0.25">
      <c r="A56" s="6">
        <v>44616</v>
      </c>
      <c r="B56" s="7">
        <v>0.27150462962962962</v>
      </c>
      <c r="C56" s="7">
        <v>0.71347222222222217</v>
      </c>
      <c r="D56" s="8">
        <v>0</v>
      </c>
      <c r="E56" s="8">
        <v>9.64</v>
      </c>
      <c r="F56" s="8">
        <v>3.82</v>
      </c>
      <c r="G56" s="9">
        <v>2.36</v>
      </c>
      <c r="H56">
        <f t="shared" si="4"/>
        <v>1</v>
      </c>
      <c r="I56">
        <f t="shared" si="5"/>
        <v>1</v>
      </c>
      <c r="J56">
        <f t="shared" si="6"/>
        <v>1</v>
      </c>
      <c r="K56">
        <f t="shared" si="7"/>
        <v>1</v>
      </c>
    </row>
    <row r="57" spans="1:11" x14ac:dyDescent="0.25">
      <c r="A57" s="10">
        <v>44617</v>
      </c>
      <c r="B57" s="11">
        <v>0.27001157407407406</v>
      </c>
      <c r="C57" s="11">
        <v>0.71474537037037034</v>
      </c>
      <c r="D57" s="12">
        <v>0</v>
      </c>
      <c r="E57" s="12">
        <v>9.35</v>
      </c>
      <c r="F57" s="12">
        <v>3.73</v>
      </c>
      <c r="G57" s="13">
        <v>2.1800000000000002</v>
      </c>
      <c r="H57">
        <f t="shared" si="4"/>
        <v>1</v>
      </c>
      <c r="I57">
        <f t="shared" si="5"/>
        <v>0</v>
      </c>
      <c r="J57">
        <f t="shared" si="6"/>
        <v>0</v>
      </c>
      <c r="K57">
        <f t="shared" si="7"/>
        <v>0</v>
      </c>
    </row>
    <row r="58" spans="1:11" x14ac:dyDescent="0.25">
      <c r="A58" s="6">
        <v>44618</v>
      </c>
      <c r="B58" s="7">
        <v>0.26851851851851855</v>
      </c>
      <c r="C58" s="7">
        <v>0.7160185185185185</v>
      </c>
      <c r="D58" s="8">
        <v>0</v>
      </c>
      <c r="E58" s="8">
        <v>8.76</v>
      </c>
      <c r="F58" s="8">
        <v>3.92</v>
      </c>
      <c r="G58" s="9">
        <v>2.4</v>
      </c>
      <c r="H58">
        <f t="shared" si="4"/>
        <v>1</v>
      </c>
      <c r="I58">
        <f t="shared" si="5"/>
        <v>0</v>
      </c>
      <c r="J58">
        <f t="shared" si="6"/>
        <v>0</v>
      </c>
      <c r="K58">
        <f t="shared" si="7"/>
        <v>0</v>
      </c>
    </row>
    <row r="59" spans="1:11" x14ac:dyDescent="0.25">
      <c r="A59" s="10">
        <v>44619</v>
      </c>
      <c r="B59" s="11">
        <v>0.26700231481481479</v>
      </c>
      <c r="C59" s="11">
        <v>0.71728009259259262</v>
      </c>
      <c r="D59" s="12">
        <v>0</v>
      </c>
      <c r="E59" s="12">
        <v>9.77</v>
      </c>
      <c r="F59" s="12">
        <v>3.26</v>
      </c>
      <c r="G59" s="13">
        <v>1.3</v>
      </c>
      <c r="H59">
        <f t="shared" si="4"/>
        <v>1</v>
      </c>
      <c r="I59">
        <f t="shared" si="5"/>
        <v>1</v>
      </c>
      <c r="J59">
        <f t="shared" si="6"/>
        <v>1</v>
      </c>
      <c r="K59">
        <f t="shared" si="7"/>
        <v>1</v>
      </c>
    </row>
    <row r="60" spans="1:11" x14ac:dyDescent="0.25">
      <c r="A60" s="6">
        <v>44620</v>
      </c>
      <c r="B60" s="7">
        <v>0.26548611111111109</v>
      </c>
      <c r="C60" s="7">
        <v>0.71855324074074078</v>
      </c>
      <c r="D60" s="8">
        <v>5</v>
      </c>
      <c r="E60" s="8">
        <v>2.93</v>
      </c>
      <c r="F60" s="8">
        <v>1.03</v>
      </c>
      <c r="G60" s="9">
        <v>2.99</v>
      </c>
      <c r="H60">
        <f t="shared" si="4"/>
        <v>0</v>
      </c>
      <c r="I60">
        <f t="shared" si="5"/>
        <v>0</v>
      </c>
      <c r="J60">
        <f t="shared" si="6"/>
        <v>0</v>
      </c>
      <c r="K60">
        <f t="shared" si="7"/>
        <v>0</v>
      </c>
    </row>
    <row r="61" spans="1:11" x14ac:dyDescent="0.25">
      <c r="A61" s="10">
        <v>44621</v>
      </c>
      <c r="B61" s="11">
        <v>0.26396990740740739</v>
      </c>
      <c r="C61" s="11">
        <v>0.7198148148148148</v>
      </c>
      <c r="D61" s="12">
        <v>2</v>
      </c>
      <c r="E61" s="12">
        <v>4.66</v>
      </c>
      <c r="F61" s="12">
        <v>1.37</v>
      </c>
      <c r="G61" s="13">
        <v>2.0499999999999998</v>
      </c>
      <c r="H61">
        <f t="shared" si="4"/>
        <v>1</v>
      </c>
      <c r="I61">
        <f t="shared" si="5"/>
        <v>1</v>
      </c>
      <c r="J61">
        <f t="shared" si="6"/>
        <v>1</v>
      </c>
      <c r="K61">
        <f t="shared" si="7"/>
        <v>1</v>
      </c>
    </row>
    <row r="62" spans="1:11" x14ac:dyDescent="0.25">
      <c r="A62" s="6">
        <v>44622</v>
      </c>
      <c r="B62" s="7">
        <v>0.26243055555555556</v>
      </c>
      <c r="C62" s="7">
        <v>0.72106481481481477</v>
      </c>
      <c r="D62" s="8">
        <v>6</v>
      </c>
      <c r="E62" s="8">
        <v>2.99</v>
      </c>
      <c r="F62" s="8">
        <v>0.74</v>
      </c>
      <c r="G62" s="9">
        <v>1.48</v>
      </c>
      <c r="H62">
        <f t="shared" si="4"/>
        <v>0</v>
      </c>
      <c r="I62">
        <f t="shared" si="5"/>
        <v>0</v>
      </c>
      <c r="J62">
        <f t="shared" si="6"/>
        <v>0</v>
      </c>
      <c r="K62">
        <f t="shared" si="7"/>
        <v>0</v>
      </c>
    </row>
    <row r="63" spans="1:11" x14ac:dyDescent="0.25">
      <c r="A63" s="10">
        <v>44623</v>
      </c>
      <c r="B63" s="11">
        <v>0.26089120370370372</v>
      </c>
      <c r="C63" s="11">
        <v>0.72232638888888889</v>
      </c>
      <c r="D63" s="12">
        <v>7</v>
      </c>
      <c r="E63" s="12">
        <v>1.1399999999999999</v>
      </c>
      <c r="F63" s="12">
        <v>0.22</v>
      </c>
      <c r="G63" s="13">
        <v>3.27</v>
      </c>
      <c r="H63">
        <f t="shared" si="4"/>
        <v>0</v>
      </c>
      <c r="I63">
        <f t="shared" si="5"/>
        <v>0</v>
      </c>
      <c r="J63">
        <f t="shared" si="6"/>
        <v>0</v>
      </c>
      <c r="K63">
        <f t="shared" si="7"/>
        <v>0</v>
      </c>
    </row>
    <row r="64" spans="1:11" x14ac:dyDescent="0.25">
      <c r="A64" s="6">
        <v>44624</v>
      </c>
      <c r="B64" s="7">
        <v>0.25934027777777779</v>
      </c>
      <c r="C64" s="7">
        <v>0.72357638888888887</v>
      </c>
      <c r="D64" s="8">
        <v>0</v>
      </c>
      <c r="E64" s="8">
        <v>9.7100000000000009</v>
      </c>
      <c r="F64" s="8">
        <v>3.95</v>
      </c>
      <c r="G64" s="9">
        <v>1.96</v>
      </c>
      <c r="H64">
        <f t="shared" si="4"/>
        <v>1</v>
      </c>
      <c r="I64">
        <f t="shared" si="5"/>
        <v>1</v>
      </c>
      <c r="J64">
        <f t="shared" si="6"/>
        <v>1</v>
      </c>
      <c r="K64">
        <f t="shared" si="7"/>
        <v>1</v>
      </c>
    </row>
    <row r="65" spans="1:11" x14ac:dyDescent="0.25">
      <c r="A65" s="10">
        <v>44625</v>
      </c>
      <c r="B65" s="11">
        <v>0.25777777777777777</v>
      </c>
      <c r="C65" s="11">
        <v>0.72482638888888884</v>
      </c>
      <c r="D65" s="12">
        <v>0</v>
      </c>
      <c r="E65" s="12">
        <v>9.92</v>
      </c>
      <c r="F65" s="12">
        <v>3.01</v>
      </c>
      <c r="G65" s="13">
        <v>1.52</v>
      </c>
      <c r="H65">
        <f t="shared" si="4"/>
        <v>1</v>
      </c>
      <c r="I65">
        <f t="shared" si="5"/>
        <v>1</v>
      </c>
      <c r="J65">
        <f t="shared" si="6"/>
        <v>1</v>
      </c>
      <c r="K65">
        <f t="shared" si="7"/>
        <v>2</v>
      </c>
    </row>
    <row r="66" spans="1:11" x14ac:dyDescent="0.25">
      <c r="A66" s="6">
        <v>44626</v>
      </c>
      <c r="B66" s="7">
        <v>0.25621527777777775</v>
      </c>
      <c r="C66" s="7">
        <v>0.72607638888888892</v>
      </c>
      <c r="D66" s="8">
        <v>1</v>
      </c>
      <c r="E66" s="8">
        <v>9.66</v>
      </c>
      <c r="F66" s="8">
        <v>2.79</v>
      </c>
      <c r="G66" s="9">
        <v>1.24</v>
      </c>
      <c r="H66">
        <f t="shared" si="4"/>
        <v>0</v>
      </c>
      <c r="I66">
        <f t="shared" si="5"/>
        <v>0</v>
      </c>
      <c r="J66">
        <f t="shared" si="6"/>
        <v>0</v>
      </c>
      <c r="K66">
        <f t="shared" si="7"/>
        <v>0</v>
      </c>
    </row>
    <row r="67" spans="1:11" x14ac:dyDescent="0.25">
      <c r="A67" s="10">
        <v>44627</v>
      </c>
      <c r="B67" s="11">
        <v>0.25464120370370369</v>
      </c>
      <c r="C67" s="11">
        <v>0.72731481481481486</v>
      </c>
      <c r="D67" s="12">
        <v>4</v>
      </c>
      <c r="E67" s="12">
        <v>3.6</v>
      </c>
      <c r="F67" s="12">
        <v>1.68</v>
      </c>
      <c r="G67" s="13">
        <v>2.75</v>
      </c>
      <c r="H67">
        <f t="shared" si="4"/>
        <v>0</v>
      </c>
      <c r="I67">
        <f t="shared" si="5"/>
        <v>0</v>
      </c>
      <c r="J67">
        <f t="shared" si="6"/>
        <v>0</v>
      </c>
      <c r="K67">
        <f t="shared" si="7"/>
        <v>0</v>
      </c>
    </row>
    <row r="68" spans="1:11" x14ac:dyDescent="0.25">
      <c r="A68" s="6">
        <v>44628</v>
      </c>
      <c r="B68" s="7">
        <v>0.25306712962962963</v>
      </c>
      <c r="C68" s="7">
        <v>0.72855324074074079</v>
      </c>
      <c r="D68" s="8">
        <v>2</v>
      </c>
      <c r="E68" s="8">
        <v>4.9000000000000004</v>
      </c>
      <c r="F68" s="8">
        <v>2.5299999999999998</v>
      </c>
      <c r="G68" s="9">
        <v>2.46</v>
      </c>
      <c r="H68">
        <f t="shared" ref="H68:H131" si="8">IF(D68&lt;=D67,1,0)</f>
        <v>1</v>
      </c>
      <c r="I68">
        <f t="shared" ref="I68:I131" si="9">IF(E68&gt;=E67,1,0)</f>
        <v>1</v>
      </c>
      <c r="J68">
        <f t="shared" ref="J68:J131" si="10">IF(AND(H68=1,I68=1),1,0)</f>
        <v>1</v>
      </c>
      <c r="K68">
        <f t="shared" si="7"/>
        <v>1</v>
      </c>
    </row>
    <row r="69" spans="1:11" x14ac:dyDescent="0.25">
      <c r="A69" s="10">
        <v>44629</v>
      </c>
      <c r="B69" s="11">
        <v>0.25148148148148147</v>
      </c>
      <c r="C69" s="11">
        <v>0.72979166666666662</v>
      </c>
      <c r="D69" s="12">
        <v>3</v>
      </c>
      <c r="E69" s="12">
        <v>3.29</v>
      </c>
      <c r="F69" s="12">
        <v>0.73</v>
      </c>
      <c r="G69" s="13">
        <v>2.4300000000000002</v>
      </c>
      <c r="H69">
        <f t="shared" si="8"/>
        <v>0</v>
      </c>
      <c r="I69">
        <f t="shared" si="9"/>
        <v>0</v>
      </c>
      <c r="J69">
        <f t="shared" si="10"/>
        <v>0</v>
      </c>
      <c r="K69">
        <f t="shared" ref="K69:K132" si="11">IF(J69=0,0,J69+K68)</f>
        <v>0</v>
      </c>
    </row>
    <row r="70" spans="1:11" x14ac:dyDescent="0.25">
      <c r="A70" s="6">
        <v>44630</v>
      </c>
      <c r="B70" s="7">
        <v>0.24989583333333334</v>
      </c>
      <c r="C70" s="7">
        <v>0.73103009259259255</v>
      </c>
      <c r="D70" s="8">
        <v>1</v>
      </c>
      <c r="E70" s="8">
        <v>7.92</v>
      </c>
      <c r="F70" s="8">
        <v>1.58</v>
      </c>
      <c r="G70" s="9">
        <v>1.63</v>
      </c>
      <c r="H70">
        <f t="shared" si="8"/>
        <v>1</v>
      </c>
      <c r="I70">
        <f t="shared" si="9"/>
        <v>1</v>
      </c>
      <c r="J70">
        <f t="shared" si="10"/>
        <v>1</v>
      </c>
      <c r="K70">
        <f t="shared" si="11"/>
        <v>1</v>
      </c>
    </row>
    <row r="71" spans="1:11" x14ac:dyDescent="0.25">
      <c r="A71" s="10">
        <v>44631</v>
      </c>
      <c r="B71" s="11">
        <v>0.24831018518518519</v>
      </c>
      <c r="C71" s="11">
        <v>0.73225694444444445</v>
      </c>
      <c r="D71" s="12">
        <v>4</v>
      </c>
      <c r="E71" s="12">
        <v>2.99</v>
      </c>
      <c r="F71" s="12">
        <v>1.05</v>
      </c>
      <c r="G71" s="13">
        <v>2.89</v>
      </c>
      <c r="H71">
        <f t="shared" si="8"/>
        <v>0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25">
      <c r="A72" s="6">
        <v>44632</v>
      </c>
      <c r="B72" s="7">
        <v>0.2467013888888889</v>
      </c>
      <c r="C72" s="7">
        <v>0.73348379629629634</v>
      </c>
      <c r="D72" s="8">
        <v>0</v>
      </c>
      <c r="E72" s="8">
        <v>11.09</v>
      </c>
      <c r="F72" s="8">
        <v>3.46</v>
      </c>
      <c r="G72" s="9">
        <v>1.28</v>
      </c>
      <c r="H72">
        <f t="shared" si="8"/>
        <v>1</v>
      </c>
      <c r="I72">
        <f t="shared" si="9"/>
        <v>1</v>
      </c>
      <c r="J72">
        <f t="shared" si="10"/>
        <v>1</v>
      </c>
      <c r="K72">
        <f t="shared" si="11"/>
        <v>1</v>
      </c>
    </row>
    <row r="73" spans="1:11" x14ac:dyDescent="0.25">
      <c r="A73" s="10">
        <v>44633</v>
      </c>
      <c r="B73" s="11">
        <v>0.24510416666666668</v>
      </c>
      <c r="C73" s="11">
        <v>0.73471064814814813</v>
      </c>
      <c r="D73" s="12">
        <v>0</v>
      </c>
      <c r="E73" s="12">
        <v>12.5</v>
      </c>
      <c r="F73" s="12">
        <v>3.14</v>
      </c>
      <c r="G73" s="13">
        <v>1.24</v>
      </c>
      <c r="H73">
        <f t="shared" si="8"/>
        <v>1</v>
      </c>
      <c r="I73">
        <f t="shared" si="9"/>
        <v>1</v>
      </c>
      <c r="J73">
        <f t="shared" si="10"/>
        <v>1</v>
      </c>
      <c r="K73">
        <f t="shared" si="11"/>
        <v>2</v>
      </c>
    </row>
    <row r="74" spans="1:11" x14ac:dyDescent="0.25">
      <c r="A74" s="6">
        <v>44634</v>
      </c>
      <c r="B74" s="7">
        <v>0.24349537037037036</v>
      </c>
      <c r="C74" s="7">
        <v>0.73593750000000002</v>
      </c>
      <c r="D74" s="8">
        <v>2</v>
      </c>
      <c r="E74" s="8">
        <v>5.32</v>
      </c>
      <c r="F74" s="8">
        <v>2.64</v>
      </c>
      <c r="G74" s="9">
        <v>3.06</v>
      </c>
      <c r="H74">
        <f t="shared" si="8"/>
        <v>0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25">
      <c r="A75" s="10">
        <v>44635</v>
      </c>
      <c r="B75" s="11">
        <v>0.24188657407407407</v>
      </c>
      <c r="C75" s="11">
        <v>0.73716435185185181</v>
      </c>
      <c r="D75" s="12">
        <v>6</v>
      </c>
      <c r="E75" s="12">
        <v>3.14</v>
      </c>
      <c r="F75" s="12">
        <v>1.73</v>
      </c>
      <c r="G75" s="13">
        <v>3.82</v>
      </c>
      <c r="H75">
        <f t="shared" si="8"/>
        <v>0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25">
      <c r="A76" s="6">
        <v>44636</v>
      </c>
      <c r="B76" s="7">
        <v>0.24027777777777778</v>
      </c>
      <c r="C76" s="7">
        <v>0.73837962962962966</v>
      </c>
      <c r="D76" s="8">
        <v>0</v>
      </c>
      <c r="E76" s="8">
        <v>12.41</v>
      </c>
      <c r="F76" s="8">
        <v>3.85</v>
      </c>
      <c r="G76" s="9">
        <v>0.67</v>
      </c>
      <c r="H76">
        <f t="shared" si="8"/>
        <v>1</v>
      </c>
      <c r="I76">
        <f t="shared" si="9"/>
        <v>1</v>
      </c>
      <c r="J76">
        <f t="shared" si="10"/>
        <v>1</v>
      </c>
      <c r="K76">
        <f t="shared" si="11"/>
        <v>1</v>
      </c>
    </row>
    <row r="77" spans="1:11" x14ac:dyDescent="0.25">
      <c r="A77" s="10">
        <v>44637</v>
      </c>
      <c r="B77" s="11">
        <v>0.23866898148148147</v>
      </c>
      <c r="C77" s="11">
        <v>0.73959490740740741</v>
      </c>
      <c r="D77" s="12">
        <v>4</v>
      </c>
      <c r="E77" s="12">
        <v>3.11</v>
      </c>
      <c r="F77" s="12">
        <v>2.14</v>
      </c>
      <c r="G77" s="13">
        <v>4.2</v>
      </c>
      <c r="H77">
        <f t="shared" si="8"/>
        <v>0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25">
      <c r="A78" s="6">
        <v>44638</v>
      </c>
      <c r="B78" s="7">
        <v>0.23704861111111111</v>
      </c>
      <c r="C78" s="7">
        <v>0.74081018518518515</v>
      </c>
      <c r="D78" s="8">
        <v>0</v>
      </c>
      <c r="E78" s="8">
        <v>11.14</v>
      </c>
      <c r="F78" s="8">
        <v>3.57</v>
      </c>
      <c r="G78" s="9">
        <v>1.4</v>
      </c>
      <c r="H78">
        <f t="shared" si="8"/>
        <v>1</v>
      </c>
      <c r="I78">
        <f t="shared" si="9"/>
        <v>1</v>
      </c>
      <c r="J78">
        <f t="shared" si="10"/>
        <v>1</v>
      </c>
      <c r="K78">
        <f t="shared" si="11"/>
        <v>1</v>
      </c>
    </row>
    <row r="79" spans="1:11" x14ac:dyDescent="0.25">
      <c r="A79" s="10">
        <v>44639</v>
      </c>
      <c r="B79" s="11">
        <v>0.23542824074074073</v>
      </c>
      <c r="C79" s="11">
        <v>0.74202546296296301</v>
      </c>
      <c r="D79" s="12">
        <v>0</v>
      </c>
      <c r="E79" s="12">
        <v>14.64</v>
      </c>
      <c r="F79" s="12">
        <v>3.79</v>
      </c>
      <c r="G79" s="13">
        <v>0.42</v>
      </c>
      <c r="H79">
        <f t="shared" si="8"/>
        <v>1</v>
      </c>
      <c r="I79">
        <f t="shared" si="9"/>
        <v>1</v>
      </c>
      <c r="J79">
        <f t="shared" si="10"/>
        <v>1</v>
      </c>
      <c r="K79">
        <f t="shared" si="11"/>
        <v>2</v>
      </c>
    </row>
    <row r="80" spans="1:11" x14ac:dyDescent="0.25">
      <c r="A80" s="6">
        <v>44640</v>
      </c>
      <c r="B80" s="7">
        <v>0.23380787037037037</v>
      </c>
      <c r="C80" s="7">
        <v>0.74324074074074076</v>
      </c>
      <c r="D80" s="8">
        <v>0</v>
      </c>
      <c r="E80" s="8">
        <v>12.39</v>
      </c>
      <c r="F80" s="8">
        <v>3.87</v>
      </c>
      <c r="G80" s="9">
        <v>1.02</v>
      </c>
      <c r="H80">
        <f t="shared" si="8"/>
        <v>1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25">
      <c r="A81" s="10">
        <v>44641</v>
      </c>
      <c r="B81" s="11">
        <v>0.23218749999999999</v>
      </c>
      <c r="C81" s="11">
        <v>0.74444444444444446</v>
      </c>
      <c r="D81" s="12">
        <v>3</v>
      </c>
      <c r="E81" s="12">
        <v>3.56</v>
      </c>
      <c r="F81" s="12">
        <v>1.4</v>
      </c>
      <c r="G81" s="13">
        <v>3.29</v>
      </c>
      <c r="H81">
        <f t="shared" si="8"/>
        <v>0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25">
      <c r="A82" s="6">
        <v>44642</v>
      </c>
      <c r="B82" s="7">
        <v>0.23056712962962964</v>
      </c>
      <c r="C82" s="7">
        <v>0.74565972222222221</v>
      </c>
      <c r="D82" s="8">
        <v>5</v>
      </c>
      <c r="E82" s="8">
        <v>3.59</v>
      </c>
      <c r="F82" s="8">
        <v>2.0099999999999998</v>
      </c>
      <c r="G82" s="9">
        <v>3.66</v>
      </c>
      <c r="H82">
        <f t="shared" si="8"/>
        <v>0</v>
      </c>
      <c r="I82">
        <f t="shared" si="9"/>
        <v>1</v>
      </c>
      <c r="J82">
        <f t="shared" si="10"/>
        <v>0</v>
      </c>
      <c r="K82">
        <f t="shared" si="11"/>
        <v>0</v>
      </c>
    </row>
    <row r="83" spans="1:11" x14ac:dyDescent="0.25">
      <c r="A83" s="10">
        <v>44643</v>
      </c>
      <c r="B83" s="11">
        <v>0.22893518518518519</v>
      </c>
      <c r="C83" s="11">
        <v>0.74686342592592592</v>
      </c>
      <c r="D83" s="12">
        <v>0</v>
      </c>
      <c r="E83" s="12">
        <v>12.04</v>
      </c>
      <c r="F83" s="12">
        <v>3.72</v>
      </c>
      <c r="G83" s="13">
        <v>1.59</v>
      </c>
      <c r="H83">
        <f t="shared" si="8"/>
        <v>1</v>
      </c>
      <c r="I83">
        <f t="shared" si="9"/>
        <v>1</v>
      </c>
      <c r="J83">
        <f t="shared" si="10"/>
        <v>1</v>
      </c>
      <c r="K83">
        <f t="shared" si="11"/>
        <v>1</v>
      </c>
    </row>
    <row r="84" spans="1:11" x14ac:dyDescent="0.25">
      <c r="A84" s="6">
        <v>44644</v>
      </c>
      <c r="B84" s="7">
        <v>0.2273148148148148</v>
      </c>
      <c r="C84" s="7">
        <v>0.74806712962962962</v>
      </c>
      <c r="D84" s="8">
        <v>0</v>
      </c>
      <c r="E84" s="8">
        <v>12.54</v>
      </c>
      <c r="F84" s="8">
        <v>3.69</v>
      </c>
      <c r="G84" s="9">
        <v>1.05</v>
      </c>
      <c r="H84">
        <f t="shared" si="8"/>
        <v>1</v>
      </c>
      <c r="I84">
        <f t="shared" si="9"/>
        <v>1</v>
      </c>
      <c r="J84">
        <f t="shared" si="10"/>
        <v>1</v>
      </c>
      <c r="K84">
        <f t="shared" si="11"/>
        <v>2</v>
      </c>
    </row>
    <row r="85" spans="1:11" x14ac:dyDescent="0.25">
      <c r="A85" s="10">
        <v>44645</v>
      </c>
      <c r="B85" s="11">
        <v>0.22569444444444445</v>
      </c>
      <c r="C85" s="11">
        <v>0.74928240740740737</v>
      </c>
      <c r="D85" s="12">
        <v>3</v>
      </c>
      <c r="E85" s="12">
        <v>3.96</v>
      </c>
      <c r="F85" s="12">
        <v>2.59</v>
      </c>
      <c r="G85" s="13">
        <v>3.5</v>
      </c>
      <c r="H85">
        <f t="shared" si="8"/>
        <v>0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25">
      <c r="A86" s="6">
        <v>44646</v>
      </c>
      <c r="B86" s="7">
        <v>0.2240625</v>
      </c>
      <c r="C86" s="7">
        <v>0.75048611111111108</v>
      </c>
      <c r="D86" s="8">
        <v>0</v>
      </c>
      <c r="E86" s="8">
        <v>12.15</v>
      </c>
      <c r="F86" s="8">
        <v>3.61</v>
      </c>
      <c r="G86" s="9">
        <v>0.86</v>
      </c>
      <c r="H86">
        <f t="shared" si="8"/>
        <v>1</v>
      </c>
      <c r="I86">
        <f t="shared" si="9"/>
        <v>1</v>
      </c>
      <c r="J86">
        <f t="shared" si="10"/>
        <v>1</v>
      </c>
      <c r="K86">
        <f t="shared" si="11"/>
        <v>1</v>
      </c>
    </row>
    <row r="87" spans="1:11" x14ac:dyDescent="0.25">
      <c r="A87" s="10">
        <v>44647</v>
      </c>
      <c r="B87" s="11">
        <v>0.2641087962962963</v>
      </c>
      <c r="C87" s="11">
        <v>0.79335648148148152</v>
      </c>
      <c r="D87" s="12">
        <v>0</v>
      </c>
      <c r="E87" s="12">
        <v>10.83</v>
      </c>
      <c r="F87" s="12">
        <v>3.78</v>
      </c>
      <c r="G87" s="13">
        <v>2.4700000000000002</v>
      </c>
      <c r="H87">
        <f t="shared" si="8"/>
        <v>1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25">
      <c r="A88" s="6">
        <v>44648</v>
      </c>
      <c r="B88" s="7">
        <v>0.26248842592592592</v>
      </c>
      <c r="C88" s="7">
        <v>0.79456018518518523</v>
      </c>
      <c r="D88" s="8">
        <v>4</v>
      </c>
      <c r="E88" s="8">
        <v>4.42</v>
      </c>
      <c r="F88" s="8">
        <v>3.15</v>
      </c>
      <c r="G88" s="9">
        <v>3.62</v>
      </c>
      <c r="H88">
        <f t="shared" si="8"/>
        <v>0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25">
      <c r="A89" s="10">
        <v>44649</v>
      </c>
      <c r="B89" s="11">
        <v>0.26086805555555553</v>
      </c>
      <c r="C89" s="11">
        <v>0.79575231481481479</v>
      </c>
      <c r="D89" s="12">
        <v>7</v>
      </c>
      <c r="E89" s="12">
        <v>1.83</v>
      </c>
      <c r="F89" s="12">
        <v>0.6</v>
      </c>
      <c r="G89" s="13">
        <v>2.89</v>
      </c>
      <c r="H89">
        <f t="shared" si="8"/>
        <v>0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25">
      <c r="A90" s="6">
        <v>44650</v>
      </c>
      <c r="B90" s="7">
        <v>0.25924768518518521</v>
      </c>
      <c r="C90" s="7">
        <v>0.79695601851851849</v>
      </c>
      <c r="D90" s="8">
        <v>0</v>
      </c>
      <c r="E90" s="8">
        <v>10.86</v>
      </c>
      <c r="F90" s="8">
        <v>3.24</v>
      </c>
      <c r="G90" s="9">
        <v>1.57</v>
      </c>
      <c r="H90">
        <f t="shared" si="8"/>
        <v>1</v>
      </c>
      <c r="I90">
        <f t="shared" si="9"/>
        <v>1</v>
      </c>
      <c r="J90">
        <f t="shared" si="10"/>
        <v>1</v>
      </c>
      <c r="K90">
        <f t="shared" si="11"/>
        <v>1</v>
      </c>
    </row>
    <row r="91" spans="1:11" x14ac:dyDescent="0.25">
      <c r="A91" s="10">
        <v>44651</v>
      </c>
      <c r="B91" s="11">
        <v>0.25763888888888886</v>
      </c>
      <c r="C91" s="11">
        <v>0.7981597222222222</v>
      </c>
      <c r="D91" s="12">
        <v>0</v>
      </c>
      <c r="E91" s="12">
        <v>10.73</v>
      </c>
      <c r="F91" s="12">
        <v>3.02</v>
      </c>
      <c r="G91" s="13">
        <v>2.14</v>
      </c>
      <c r="H91">
        <f t="shared" si="8"/>
        <v>1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25">
      <c r="A92" s="6">
        <v>44652</v>
      </c>
      <c r="B92" s="7">
        <v>0.25601851851851853</v>
      </c>
      <c r="C92" s="7">
        <v>0.79936342592592591</v>
      </c>
      <c r="D92" s="8">
        <v>3</v>
      </c>
      <c r="E92" s="8">
        <v>5.21</v>
      </c>
      <c r="F92" s="8">
        <v>2.46</v>
      </c>
      <c r="G92" s="9">
        <v>2.89</v>
      </c>
      <c r="H92">
        <f t="shared" si="8"/>
        <v>0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25">
      <c r="A93" s="10">
        <v>44653</v>
      </c>
      <c r="B93" s="11">
        <v>0.25440972222222225</v>
      </c>
      <c r="C93" s="11">
        <v>0.80055555555555558</v>
      </c>
      <c r="D93" s="12">
        <v>0</v>
      </c>
      <c r="E93" s="12">
        <v>11.83</v>
      </c>
      <c r="F93" s="12">
        <v>3.14</v>
      </c>
      <c r="G93" s="13">
        <v>1.08</v>
      </c>
      <c r="H93">
        <f t="shared" si="8"/>
        <v>1</v>
      </c>
      <c r="I93">
        <f t="shared" si="9"/>
        <v>1</v>
      </c>
      <c r="J93">
        <f t="shared" si="10"/>
        <v>1</v>
      </c>
      <c r="K93">
        <f t="shared" si="11"/>
        <v>1</v>
      </c>
    </row>
    <row r="94" spans="1:11" x14ac:dyDescent="0.25">
      <c r="A94" s="6">
        <v>44654</v>
      </c>
      <c r="B94" s="7">
        <v>0.2528009259259259</v>
      </c>
      <c r="C94" s="7">
        <v>0.80175925925925928</v>
      </c>
      <c r="D94" s="8">
        <v>6</v>
      </c>
      <c r="E94" s="8">
        <v>2.3199999999999998</v>
      </c>
      <c r="F94" s="8">
        <v>1.08</v>
      </c>
      <c r="G94" s="9">
        <v>4.09</v>
      </c>
      <c r="H94">
        <f t="shared" si="8"/>
        <v>0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25">
      <c r="A95" s="10">
        <v>44655</v>
      </c>
      <c r="B95" s="11">
        <v>0.25120370370370371</v>
      </c>
      <c r="C95" s="11">
        <v>0.80296296296296299</v>
      </c>
      <c r="D95" s="12">
        <v>2</v>
      </c>
      <c r="E95" s="12">
        <v>6.34</v>
      </c>
      <c r="F95" s="12">
        <v>3.25</v>
      </c>
      <c r="G95" s="13">
        <v>2.0099999999999998</v>
      </c>
      <c r="H95">
        <f t="shared" si="8"/>
        <v>1</v>
      </c>
      <c r="I95">
        <f t="shared" si="9"/>
        <v>1</v>
      </c>
      <c r="J95">
        <f t="shared" si="10"/>
        <v>1</v>
      </c>
      <c r="K95">
        <f t="shared" si="11"/>
        <v>1</v>
      </c>
    </row>
    <row r="96" spans="1:11" x14ac:dyDescent="0.25">
      <c r="A96" s="6">
        <v>44656</v>
      </c>
      <c r="B96" s="7">
        <v>0.24959490740740742</v>
      </c>
      <c r="C96" s="7">
        <v>0.80415509259259255</v>
      </c>
      <c r="D96" s="8">
        <v>4</v>
      </c>
      <c r="E96" s="8">
        <v>4.87</v>
      </c>
      <c r="F96" s="8">
        <v>1.47</v>
      </c>
      <c r="G96" s="9">
        <v>1.86</v>
      </c>
      <c r="H96">
        <f t="shared" si="8"/>
        <v>0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25">
      <c r="A97" s="10">
        <v>44657</v>
      </c>
      <c r="B97" s="11">
        <v>0.24800925925925926</v>
      </c>
      <c r="C97" s="11">
        <v>0.80535879629629625</v>
      </c>
      <c r="D97" s="12">
        <v>4</v>
      </c>
      <c r="E97" s="12">
        <v>3.57</v>
      </c>
      <c r="F97" s="12">
        <v>0.16</v>
      </c>
      <c r="G97" s="13">
        <v>2.94</v>
      </c>
      <c r="H97">
        <f t="shared" si="8"/>
        <v>1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25">
      <c r="A98" s="6">
        <v>44658</v>
      </c>
      <c r="B98" s="7">
        <v>0.24641203703703704</v>
      </c>
      <c r="C98" s="7">
        <v>0.80656249999999996</v>
      </c>
      <c r="D98" s="8">
        <v>2</v>
      </c>
      <c r="E98" s="8">
        <v>6.61</v>
      </c>
      <c r="F98" s="8">
        <v>2.5099999999999998</v>
      </c>
      <c r="G98" s="9">
        <v>1.34</v>
      </c>
      <c r="H98">
        <f t="shared" si="8"/>
        <v>1</v>
      </c>
      <c r="I98">
        <f t="shared" si="9"/>
        <v>1</v>
      </c>
      <c r="J98">
        <f t="shared" si="10"/>
        <v>1</v>
      </c>
      <c r="K98">
        <f t="shared" si="11"/>
        <v>1</v>
      </c>
    </row>
    <row r="99" spans="1:11" x14ac:dyDescent="0.25">
      <c r="A99" s="10">
        <v>44659</v>
      </c>
      <c r="B99" s="11">
        <v>0.24482638888888889</v>
      </c>
      <c r="C99" s="11">
        <v>0.80775462962962963</v>
      </c>
      <c r="D99" s="12">
        <v>0</v>
      </c>
      <c r="E99" s="12">
        <v>14.15</v>
      </c>
      <c r="F99" s="12">
        <v>3.32</v>
      </c>
      <c r="G99" s="13">
        <v>1.82</v>
      </c>
      <c r="H99">
        <f t="shared" si="8"/>
        <v>1</v>
      </c>
      <c r="I99">
        <f t="shared" si="9"/>
        <v>1</v>
      </c>
      <c r="J99">
        <f t="shared" si="10"/>
        <v>1</v>
      </c>
      <c r="K99">
        <f t="shared" si="11"/>
        <v>2</v>
      </c>
    </row>
    <row r="100" spans="1:11" x14ac:dyDescent="0.25">
      <c r="A100" s="6">
        <v>44660</v>
      </c>
      <c r="B100" s="7">
        <v>0.24325231481481482</v>
      </c>
      <c r="C100" s="7">
        <v>0.80895833333333333</v>
      </c>
      <c r="D100" s="8">
        <v>0</v>
      </c>
      <c r="E100" s="8">
        <v>10.3</v>
      </c>
      <c r="F100" s="8">
        <v>3.31</v>
      </c>
      <c r="G100" s="9">
        <v>4.1500000000000004</v>
      </c>
      <c r="H100">
        <f t="shared" si="8"/>
        <v>1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25">
      <c r="A101" s="10">
        <v>44661</v>
      </c>
      <c r="B101" s="11">
        <v>0.24167824074074074</v>
      </c>
      <c r="C101" s="11">
        <v>0.81016203703703704</v>
      </c>
      <c r="D101" s="12">
        <v>0</v>
      </c>
      <c r="E101" s="12">
        <v>10.039999999999999</v>
      </c>
      <c r="F101" s="12">
        <v>3.85</v>
      </c>
      <c r="G101" s="13">
        <v>3.16</v>
      </c>
      <c r="H101">
        <f t="shared" si="8"/>
        <v>1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25">
      <c r="A102" s="6">
        <v>44662</v>
      </c>
      <c r="B102" s="7">
        <v>0.24010416666666667</v>
      </c>
      <c r="C102" s="7">
        <v>0.81135416666666671</v>
      </c>
      <c r="D102" s="8">
        <v>4</v>
      </c>
      <c r="E102" s="8">
        <v>3.82</v>
      </c>
      <c r="F102" s="8">
        <v>1.64</v>
      </c>
      <c r="G102" s="9">
        <v>3.12</v>
      </c>
      <c r="H102">
        <f t="shared" si="8"/>
        <v>0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25">
      <c r="A103" s="10">
        <v>44663</v>
      </c>
      <c r="B103" s="11">
        <v>0.23854166666666668</v>
      </c>
      <c r="C103" s="11">
        <v>0.81255787037037042</v>
      </c>
      <c r="D103" s="12">
        <v>1</v>
      </c>
      <c r="E103" s="12">
        <v>7.92</v>
      </c>
      <c r="F103" s="12">
        <v>3.79</v>
      </c>
      <c r="G103" s="13">
        <v>3.05</v>
      </c>
      <c r="H103">
        <f t="shared" si="8"/>
        <v>1</v>
      </c>
      <c r="I103">
        <f t="shared" si="9"/>
        <v>1</v>
      </c>
      <c r="J103">
        <f t="shared" si="10"/>
        <v>1</v>
      </c>
      <c r="K103">
        <f t="shared" si="11"/>
        <v>1</v>
      </c>
    </row>
    <row r="104" spans="1:11" x14ac:dyDescent="0.25">
      <c r="A104" s="6">
        <v>44664</v>
      </c>
      <c r="B104" s="7">
        <v>0.23699074074074075</v>
      </c>
      <c r="C104" s="7">
        <v>0.81376157407407412</v>
      </c>
      <c r="D104" s="8">
        <v>1</v>
      </c>
      <c r="E104" s="8">
        <v>7.5</v>
      </c>
      <c r="F104" s="8">
        <v>3.12</v>
      </c>
      <c r="G104" s="9">
        <v>2.94</v>
      </c>
      <c r="H104">
        <f t="shared" si="8"/>
        <v>1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25">
      <c r="A105" s="10">
        <v>44665</v>
      </c>
      <c r="B105" s="11">
        <v>0.23543981481481482</v>
      </c>
      <c r="C105" s="11">
        <v>0.81495370370370368</v>
      </c>
      <c r="D105" s="12">
        <v>0</v>
      </c>
      <c r="E105" s="12">
        <v>12.58</v>
      </c>
      <c r="F105" s="12">
        <v>3.42</v>
      </c>
      <c r="G105" s="13">
        <v>2.0499999999999998</v>
      </c>
      <c r="H105">
        <f t="shared" si="8"/>
        <v>1</v>
      </c>
      <c r="I105">
        <f t="shared" si="9"/>
        <v>1</v>
      </c>
      <c r="J105">
        <f t="shared" si="10"/>
        <v>1</v>
      </c>
      <c r="K105">
        <f t="shared" si="11"/>
        <v>1</v>
      </c>
    </row>
    <row r="106" spans="1:11" x14ac:dyDescent="0.25">
      <c r="A106" s="6">
        <v>44666</v>
      </c>
      <c r="B106" s="7">
        <v>0.23390046296296296</v>
      </c>
      <c r="C106" s="7">
        <v>0.81615740740740739</v>
      </c>
      <c r="D106" s="8">
        <v>2</v>
      </c>
      <c r="E106" s="8">
        <v>7.66</v>
      </c>
      <c r="F106" s="8">
        <v>3.41</v>
      </c>
      <c r="G106" s="9">
        <v>1.68</v>
      </c>
      <c r="H106">
        <f t="shared" si="8"/>
        <v>0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25">
      <c r="A107" s="10">
        <v>44667</v>
      </c>
      <c r="B107" s="11">
        <v>0.2323726851851852</v>
      </c>
      <c r="C107" s="11">
        <v>0.81736111111111109</v>
      </c>
      <c r="D107" s="12">
        <v>4</v>
      </c>
      <c r="E107" s="12">
        <v>4.16</v>
      </c>
      <c r="F107" s="12">
        <v>1.58</v>
      </c>
      <c r="G107" s="13">
        <v>2.89</v>
      </c>
      <c r="H107">
        <f t="shared" si="8"/>
        <v>0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25">
      <c r="A108" s="6">
        <v>44668</v>
      </c>
      <c r="B108" s="7">
        <v>0.2308449074074074</v>
      </c>
      <c r="C108" s="7">
        <v>0.8185648148148148</v>
      </c>
      <c r="D108" s="8">
        <v>6</v>
      </c>
      <c r="E108" s="8">
        <v>2.34</v>
      </c>
      <c r="F108" s="8">
        <v>1.06</v>
      </c>
      <c r="G108" s="9">
        <v>2.46</v>
      </c>
      <c r="H108">
        <f t="shared" si="8"/>
        <v>0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25">
      <c r="A109" s="10">
        <v>44669</v>
      </c>
      <c r="B109" s="11">
        <v>0.22934027777777777</v>
      </c>
      <c r="C109" s="11">
        <v>0.81975694444444447</v>
      </c>
      <c r="D109" s="12">
        <v>6</v>
      </c>
      <c r="E109" s="12">
        <v>2.42</v>
      </c>
      <c r="F109" s="12">
        <v>1.24</v>
      </c>
      <c r="G109" s="13">
        <v>2.97</v>
      </c>
      <c r="H109">
        <f t="shared" si="8"/>
        <v>1</v>
      </c>
      <c r="I109">
        <f t="shared" si="9"/>
        <v>1</v>
      </c>
      <c r="J109">
        <f t="shared" si="10"/>
        <v>1</v>
      </c>
      <c r="K109">
        <f t="shared" si="11"/>
        <v>1</v>
      </c>
    </row>
    <row r="110" spans="1:11" x14ac:dyDescent="0.25">
      <c r="A110" s="6">
        <v>44670</v>
      </c>
      <c r="B110" s="7">
        <v>0.22783564814814813</v>
      </c>
      <c r="C110" s="7">
        <v>0.82096064814814818</v>
      </c>
      <c r="D110" s="8">
        <v>4</v>
      </c>
      <c r="E110" s="8">
        <v>3.78</v>
      </c>
      <c r="F110" s="8">
        <v>2.0699999999999998</v>
      </c>
      <c r="G110" s="9">
        <v>2.93</v>
      </c>
      <c r="H110">
        <f t="shared" si="8"/>
        <v>1</v>
      </c>
      <c r="I110">
        <f t="shared" si="9"/>
        <v>1</v>
      </c>
      <c r="J110">
        <f t="shared" si="10"/>
        <v>1</v>
      </c>
      <c r="K110">
        <f t="shared" si="11"/>
        <v>2</v>
      </c>
    </row>
    <row r="111" spans="1:11" x14ac:dyDescent="0.25">
      <c r="A111" s="10">
        <v>44671</v>
      </c>
      <c r="B111" s="11">
        <v>0.2263425925925926</v>
      </c>
      <c r="C111" s="11">
        <v>0.82215277777777773</v>
      </c>
      <c r="D111" s="12">
        <v>1</v>
      </c>
      <c r="E111" s="12">
        <v>7.54</v>
      </c>
      <c r="F111" s="12">
        <v>2.57</v>
      </c>
      <c r="G111" s="13">
        <v>2.06</v>
      </c>
      <c r="H111">
        <f t="shared" si="8"/>
        <v>1</v>
      </c>
      <c r="I111">
        <f t="shared" si="9"/>
        <v>1</v>
      </c>
      <c r="J111">
        <f t="shared" si="10"/>
        <v>1</v>
      </c>
      <c r="K111">
        <f t="shared" si="11"/>
        <v>3</v>
      </c>
    </row>
    <row r="112" spans="1:11" x14ac:dyDescent="0.25">
      <c r="A112" s="6">
        <v>44672</v>
      </c>
      <c r="B112" s="7">
        <v>0.22486111111111112</v>
      </c>
      <c r="C112" s="7">
        <v>0.82335648148148144</v>
      </c>
      <c r="D112" s="8">
        <v>0</v>
      </c>
      <c r="E112" s="8">
        <v>13.18</v>
      </c>
      <c r="F112" s="8">
        <v>3.56</v>
      </c>
      <c r="G112" s="9">
        <v>2.02</v>
      </c>
      <c r="H112">
        <f t="shared" si="8"/>
        <v>1</v>
      </c>
      <c r="I112">
        <f t="shared" si="9"/>
        <v>1</v>
      </c>
      <c r="J112">
        <f t="shared" si="10"/>
        <v>1</v>
      </c>
      <c r="K112">
        <f t="shared" si="11"/>
        <v>4</v>
      </c>
    </row>
    <row r="113" spans="1:11" x14ac:dyDescent="0.25">
      <c r="A113" s="10">
        <v>44673</v>
      </c>
      <c r="B113" s="11">
        <v>0.22337962962962962</v>
      </c>
      <c r="C113" s="11">
        <v>0.82456018518518515</v>
      </c>
      <c r="D113" s="12">
        <v>5</v>
      </c>
      <c r="E113" s="12">
        <v>2.54</v>
      </c>
      <c r="F113" s="12">
        <v>0.68</v>
      </c>
      <c r="G113" s="13">
        <v>3.58</v>
      </c>
      <c r="H113">
        <f t="shared" si="8"/>
        <v>0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25">
      <c r="A114" s="6">
        <v>44674</v>
      </c>
      <c r="B114" s="7">
        <v>0.22192129629629628</v>
      </c>
      <c r="C114" s="7">
        <v>0.82575231481481481</v>
      </c>
      <c r="D114" s="8">
        <v>0</v>
      </c>
      <c r="E114" s="8">
        <v>10.62</v>
      </c>
      <c r="F114" s="8">
        <v>3.13</v>
      </c>
      <c r="G114" s="9">
        <v>2.0699999999999998</v>
      </c>
      <c r="H114">
        <f t="shared" si="8"/>
        <v>1</v>
      </c>
      <c r="I114">
        <f t="shared" si="9"/>
        <v>1</v>
      </c>
      <c r="J114">
        <f t="shared" si="10"/>
        <v>1</v>
      </c>
      <c r="K114">
        <f t="shared" si="11"/>
        <v>1</v>
      </c>
    </row>
    <row r="115" spans="1:11" x14ac:dyDescent="0.25">
      <c r="A115" s="10">
        <v>44675</v>
      </c>
      <c r="B115" s="11">
        <v>0.22047453703703704</v>
      </c>
      <c r="C115" s="11">
        <v>0.82694444444444448</v>
      </c>
      <c r="D115" s="12">
        <v>0</v>
      </c>
      <c r="E115" s="12">
        <v>13.23</v>
      </c>
      <c r="F115" s="12">
        <v>3.2</v>
      </c>
      <c r="G115" s="13">
        <v>0.56000000000000005</v>
      </c>
      <c r="H115">
        <f t="shared" si="8"/>
        <v>1</v>
      </c>
      <c r="I115">
        <f t="shared" si="9"/>
        <v>1</v>
      </c>
      <c r="J115">
        <f t="shared" si="10"/>
        <v>1</v>
      </c>
      <c r="K115">
        <f t="shared" si="11"/>
        <v>2</v>
      </c>
    </row>
    <row r="116" spans="1:11" x14ac:dyDescent="0.25">
      <c r="A116" s="6">
        <v>44676</v>
      </c>
      <c r="B116" s="7">
        <v>0.21903935185185186</v>
      </c>
      <c r="C116" s="7">
        <v>0.82814814814814819</v>
      </c>
      <c r="D116" s="8">
        <v>6</v>
      </c>
      <c r="E116" s="8">
        <v>3.09</v>
      </c>
      <c r="F116" s="8">
        <v>1.32</v>
      </c>
      <c r="G116" s="9">
        <v>3.52</v>
      </c>
      <c r="H116">
        <f t="shared" si="8"/>
        <v>0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25">
      <c r="A117" s="10">
        <v>44677</v>
      </c>
      <c r="B117" s="11">
        <v>0.21761574074074075</v>
      </c>
      <c r="C117" s="11">
        <v>0.82934027777777775</v>
      </c>
      <c r="D117" s="12">
        <v>2</v>
      </c>
      <c r="E117" s="12">
        <v>5.84</v>
      </c>
      <c r="F117" s="12">
        <v>2.5099999999999998</v>
      </c>
      <c r="G117" s="13">
        <v>1.33</v>
      </c>
      <c r="H117">
        <f t="shared" si="8"/>
        <v>1</v>
      </c>
      <c r="I117">
        <f t="shared" si="9"/>
        <v>1</v>
      </c>
      <c r="J117">
        <f t="shared" si="10"/>
        <v>1</v>
      </c>
      <c r="K117">
        <f t="shared" si="11"/>
        <v>1</v>
      </c>
    </row>
    <row r="118" spans="1:11" x14ac:dyDescent="0.25">
      <c r="A118" s="6">
        <v>44678</v>
      </c>
      <c r="B118" s="7">
        <v>0.2162037037037037</v>
      </c>
      <c r="C118" s="7">
        <v>0.83053240740740741</v>
      </c>
      <c r="D118" s="8">
        <v>2</v>
      </c>
      <c r="E118" s="8">
        <v>6.08</v>
      </c>
      <c r="F118" s="8">
        <v>2.34</v>
      </c>
      <c r="G118" s="9">
        <v>1.65</v>
      </c>
      <c r="H118">
        <f t="shared" si="8"/>
        <v>1</v>
      </c>
      <c r="I118">
        <f t="shared" si="9"/>
        <v>1</v>
      </c>
      <c r="J118">
        <f t="shared" si="10"/>
        <v>1</v>
      </c>
      <c r="K118">
        <f t="shared" si="11"/>
        <v>2</v>
      </c>
    </row>
    <row r="119" spans="1:11" x14ac:dyDescent="0.25">
      <c r="A119" s="10">
        <v>44679</v>
      </c>
      <c r="B119" s="11">
        <v>0.21480324074074075</v>
      </c>
      <c r="C119" s="11">
        <v>0.83171296296296293</v>
      </c>
      <c r="D119" s="12">
        <v>6</v>
      </c>
      <c r="E119" s="12">
        <v>3.61</v>
      </c>
      <c r="F119" s="12">
        <v>1.32</v>
      </c>
      <c r="G119" s="13">
        <v>2.14</v>
      </c>
      <c r="H119">
        <f t="shared" si="8"/>
        <v>0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25">
      <c r="A120" s="6">
        <v>44680</v>
      </c>
      <c r="B120" s="7">
        <v>0.21342592592592594</v>
      </c>
      <c r="C120" s="7">
        <v>0.8329050925925926</v>
      </c>
      <c r="D120" s="8">
        <v>1</v>
      </c>
      <c r="E120" s="8">
        <v>9.2799999999999994</v>
      </c>
      <c r="F120" s="8">
        <v>3.62</v>
      </c>
      <c r="G120" s="9">
        <v>2.17</v>
      </c>
      <c r="H120">
        <f t="shared" si="8"/>
        <v>1</v>
      </c>
      <c r="I120">
        <f t="shared" si="9"/>
        <v>1</v>
      </c>
      <c r="J120">
        <f t="shared" si="10"/>
        <v>1</v>
      </c>
      <c r="K120">
        <f t="shared" si="11"/>
        <v>1</v>
      </c>
    </row>
    <row r="121" spans="1:11" x14ac:dyDescent="0.25">
      <c r="A121" s="10">
        <v>44681</v>
      </c>
      <c r="B121" s="11">
        <v>0.21206018518518518</v>
      </c>
      <c r="C121" s="11">
        <v>0.83408564814814812</v>
      </c>
      <c r="D121" s="12">
        <v>5</v>
      </c>
      <c r="E121" s="12">
        <v>4.6900000000000004</v>
      </c>
      <c r="F121" s="12">
        <v>3.21</v>
      </c>
      <c r="G121" s="13">
        <v>2.9</v>
      </c>
      <c r="H121">
        <f t="shared" si="8"/>
        <v>0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25">
      <c r="A122" s="6">
        <v>44682</v>
      </c>
      <c r="B122" s="7">
        <v>0.21070601851851853</v>
      </c>
      <c r="C122" s="7">
        <v>0.83526620370370375</v>
      </c>
      <c r="D122" s="8">
        <v>3</v>
      </c>
      <c r="E122" s="8">
        <v>4.0999999999999996</v>
      </c>
      <c r="F122" s="8">
        <v>2.16</v>
      </c>
      <c r="G122" s="9">
        <v>3.12</v>
      </c>
      <c r="H122">
        <f t="shared" si="8"/>
        <v>1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25">
      <c r="A123" s="10">
        <v>44683</v>
      </c>
      <c r="B123" s="11">
        <v>0.20936342592592594</v>
      </c>
      <c r="C123" s="11">
        <v>0.83644675925925926</v>
      </c>
      <c r="D123" s="12">
        <v>0</v>
      </c>
      <c r="E123" s="12">
        <v>12.23</v>
      </c>
      <c r="F123" s="12">
        <v>3.94</v>
      </c>
      <c r="G123" s="13">
        <v>2.0099999999999998</v>
      </c>
      <c r="H123">
        <f t="shared" si="8"/>
        <v>1</v>
      </c>
      <c r="I123">
        <f t="shared" si="9"/>
        <v>1</v>
      </c>
      <c r="J123">
        <f t="shared" si="10"/>
        <v>1</v>
      </c>
      <c r="K123">
        <f t="shared" si="11"/>
        <v>1</v>
      </c>
    </row>
    <row r="124" spans="1:11" x14ac:dyDescent="0.25">
      <c r="A124" s="6">
        <v>44684</v>
      </c>
      <c r="B124" s="7">
        <v>0.20804398148148148</v>
      </c>
      <c r="C124" s="7">
        <v>0.83762731481481478</v>
      </c>
      <c r="D124" s="8">
        <v>3</v>
      </c>
      <c r="E124" s="8">
        <v>5.28</v>
      </c>
      <c r="F124" s="8">
        <v>2.87</v>
      </c>
      <c r="G124" s="9">
        <v>2.58</v>
      </c>
      <c r="H124">
        <f t="shared" si="8"/>
        <v>0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25">
      <c r="A125" s="10">
        <v>44685</v>
      </c>
      <c r="B125" s="11">
        <v>0.20673611111111112</v>
      </c>
      <c r="C125" s="11">
        <v>0.83879629629629626</v>
      </c>
      <c r="D125" s="12">
        <v>0</v>
      </c>
      <c r="E125" s="12">
        <v>13.63</v>
      </c>
      <c r="F125" s="12">
        <v>3.27</v>
      </c>
      <c r="G125" s="13">
        <v>0.93</v>
      </c>
      <c r="H125">
        <f t="shared" si="8"/>
        <v>1</v>
      </c>
      <c r="I125">
        <f t="shared" si="9"/>
        <v>1</v>
      </c>
      <c r="J125">
        <f t="shared" si="10"/>
        <v>1</v>
      </c>
      <c r="K125">
        <f t="shared" si="11"/>
        <v>1</v>
      </c>
    </row>
    <row r="126" spans="1:11" x14ac:dyDescent="0.25">
      <c r="A126" s="6">
        <v>44686</v>
      </c>
      <c r="B126" s="7">
        <v>0.20545138888888889</v>
      </c>
      <c r="C126" s="7">
        <v>0.8399537037037037</v>
      </c>
      <c r="D126" s="8">
        <v>0</v>
      </c>
      <c r="E126" s="8">
        <v>13.36</v>
      </c>
      <c r="F126" s="8">
        <v>3.91</v>
      </c>
      <c r="G126" s="9">
        <v>1.56</v>
      </c>
      <c r="H126">
        <f t="shared" si="8"/>
        <v>1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25">
      <c r="A127" s="10">
        <v>44687</v>
      </c>
      <c r="B127" s="11">
        <v>0.20418981481481482</v>
      </c>
      <c r="C127" s="11">
        <v>0.84112268518518518</v>
      </c>
      <c r="D127" s="12">
        <v>1</v>
      </c>
      <c r="E127" s="12">
        <v>8.76</v>
      </c>
      <c r="F127" s="12">
        <v>3.15</v>
      </c>
      <c r="G127" s="13">
        <v>1.42</v>
      </c>
      <c r="H127">
        <f t="shared" si="8"/>
        <v>0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25">
      <c r="A128" s="6">
        <v>44688</v>
      </c>
      <c r="B128" s="7">
        <v>0.20293981481481482</v>
      </c>
      <c r="C128" s="7">
        <v>0.84226851851851847</v>
      </c>
      <c r="D128" s="8">
        <v>2</v>
      </c>
      <c r="E128" s="8">
        <v>5.66</v>
      </c>
      <c r="F128" s="8">
        <v>4.2</v>
      </c>
      <c r="G128" s="9">
        <v>2.94</v>
      </c>
      <c r="H128">
        <f t="shared" si="8"/>
        <v>0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25">
      <c r="A129" s="10">
        <v>44689</v>
      </c>
      <c r="B129" s="11">
        <v>0.20170138888888889</v>
      </c>
      <c r="C129" s="11">
        <v>0.84342592592592591</v>
      </c>
      <c r="D129" s="12">
        <v>2</v>
      </c>
      <c r="E129" s="12">
        <v>6.84</v>
      </c>
      <c r="F129" s="12">
        <v>4.38</v>
      </c>
      <c r="G129" s="13">
        <v>2.0499999999999998</v>
      </c>
      <c r="H129">
        <f t="shared" si="8"/>
        <v>1</v>
      </c>
      <c r="I129">
        <f t="shared" si="9"/>
        <v>1</v>
      </c>
      <c r="J129">
        <f t="shared" si="10"/>
        <v>1</v>
      </c>
      <c r="K129">
        <f t="shared" si="11"/>
        <v>1</v>
      </c>
    </row>
    <row r="130" spans="1:11" x14ac:dyDescent="0.25">
      <c r="A130" s="6">
        <v>44690</v>
      </c>
      <c r="B130" s="7">
        <v>0.20049768518518518</v>
      </c>
      <c r="C130" s="7">
        <v>0.84456018518518516</v>
      </c>
      <c r="D130" s="8">
        <v>7</v>
      </c>
      <c r="E130" s="8">
        <v>2.89</v>
      </c>
      <c r="F130" s="8">
        <v>0.59</v>
      </c>
      <c r="G130" s="9">
        <v>2.19</v>
      </c>
      <c r="H130">
        <f t="shared" si="8"/>
        <v>0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25">
      <c r="A131" s="10">
        <v>44691</v>
      </c>
      <c r="B131" s="11">
        <v>0.19930555555555557</v>
      </c>
      <c r="C131" s="11">
        <v>0.84570601851851857</v>
      </c>
      <c r="D131" s="12">
        <v>3</v>
      </c>
      <c r="E131" s="12">
        <v>5.65</v>
      </c>
      <c r="F131" s="12">
        <v>3.89</v>
      </c>
      <c r="G131" s="13">
        <v>3.4</v>
      </c>
      <c r="H131">
        <f t="shared" si="8"/>
        <v>1</v>
      </c>
      <c r="I131">
        <f t="shared" si="9"/>
        <v>1</v>
      </c>
      <c r="J131">
        <f t="shared" si="10"/>
        <v>1</v>
      </c>
      <c r="K131">
        <f t="shared" si="11"/>
        <v>1</v>
      </c>
    </row>
    <row r="132" spans="1:11" x14ac:dyDescent="0.25">
      <c r="A132" s="6">
        <v>44692</v>
      </c>
      <c r="B132" s="7">
        <v>0.19813657407407406</v>
      </c>
      <c r="C132" s="7">
        <v>0.84682870370370367</v>
      </c>
      <c r="D132" s="8">
        <v>1</v>
      </c>
      <c r="E132" s="8">
        <v>8.83</v>
      </c>
      <c r="F132" s="8">
        <v>3.04</v>
      </c>
      <c r="G132" s="9">
        <v>2.06</v>
      </c>
      <c r="H132">
        <f t="shared" ref="H132:H195" si="12">IF(D132&lt;=D131,1,0)</f>
        <v>1</v>
      </c>
      <c r="I132">
        <f t="shared" ref="I132:I195" si="13">IF(E132&gt;=E131,1,0)</f>
        <v>1</v>
      </c>
      <c r="J132">
        <f t="shared" ref="J132:J195" si="14">IF(AND(H132=1,I132=1),1,0)</f>
        <v>1</v>
      </c>
      <c r="K132">
        <f t="shared" si="11"/>
        <v>2</v>
      </c>
    </row>
    <row r="133" spans="1:11" x14ac:dyDescent="0.25">
      <c r="A133" s="10">
        <v>44693</v>
      </c>
      <c r="B133" s="11">
        <v>0.19699074074074074</v>
      </c>
      <c r="C133" s="11">
        <v>0.84795138888888888</v>
      </c>
      <c r="D133" s="12">
        <v>0</v>
      </c>
      <c r="E133" s="12">
        <v>12.14</v>
      </c>
      <c r="F133" s="12">
        <v>5.23</v>
      </c>
      <c r="G133" s="13">
        <v>3.48</v>
      </c>
      <c r="H133">
        <f t="shared" si="12"/>
        <v>1</v>
      </c>
      <c r="I133">
        <f t="shared" si="13"/>
        <v>1</v>
      </c>
      <c r="J133">
        <f t="shared" si="14"/>
        <v>1</v>
      </c>
      <c r="K133">
        <f t="shared" ref="K133:K196" si="15">IF(J133=0,0,J133+K132)</f>
        <v>3</v>
      </c>
    </row>
    <row r="134" spans="1:11" x14ac:dyDescent="0.25">
      <c r="A134" s="6">
        <v>44694</v>
      </c>
      <c r="B134" s="7">
        <v>0.19585648148148149</v>
      </c>
      <c r="C134" s="7">
        <v>0.84906250000000005</v>
      </c>
      <c r="D134" s="8">
        <v>1</v>
      </c>
      <c r="E134" s="8">
        <v>14.36</v>
      </c>
      <c r="F134" s="8">
        <v>6.3</v>
      </c>
      <c r="G134" s="9">
        <v>1.57</v>
      </c>
      <c r="H134">
        <f t="shared" si="12"/>
        <v>0</v>
      </c>
      <c r="I134">
        <f t="shared" si="13"/>
        <v>1</v>
      </c>
      <c r="J134">
        <f t="shared" si="14"/>
        <v>0</v>
      </c>
      <c r="K134">
        <f t="shared" si="15"/>
        <v>0</v>
      </c>
    </row>
    <row r="135" spans="1:11" x14ac:dyDescent="0.25">
      <c r="A135" s="10">
        <v>44695</v>
      </c>
      <c r="B135" s="11">
        <v>0.19475694444444444</v>
      </c>
      <c r="C135" s="11">
        <v>0.85016203703703708</v>
      </c>
      <c r="D135" s="12">
        <v>8</v>
      </c>
      <c r="E135" s="12">
        <v>1.1299999999999999</v>
      </c>
      <c r="F135" s="12">
        <v>0.66</v>
      </c>
      <c r="G135" s="13">
        <v>3.45</v>
      </c>
      <c r="H135">
        <f t="shared" si="12"/>
        <v>0</v>
      </c>
      <c r="I135">
        <f t="shared" si="13"/>
        <v>0</v>
      </c>
      <c r="J135">
        <f t="shared" si="14"/>
        <v>0</v>
      </c>
      <c r="K135">
        <f t="shared" si="15"/>
        <v>0</v>
      </c>
    </row>
    <row r="136" spans="1:11" x14ac:dyDescent="0.25">
      <c r="A136" s="6">
        <v>44696</v>
      </c>
      <c r="B136" s="7">
        <v>0.19368055555555555</v>
      </c>
      <c r="C136" s="7">
        <v>0.85124999999999995</v>
      </c>
      <c r="D136" s="8">
        <v>1</v>
      </c>
      <c r="E136" s="8">
        <v>10.59</v>
      </c>
      <c r="F136" s="8">
        <v>4.34</v>
      </c>
      <c r="G136" s="9">
        <v>2.6</v>
      </c>
      <c r="H136">
        <f t="shared" si="12"/>
        <v>1</v>
      </c>
      <c r="I136">
        <f t="shared" si="13"/>
        <v>1</v>
      </c>
      <c r="J136">
        <f t="shared" si="14"/>
        <v>1</v>
      </c>
      <c r="K136">
        <f t="shared" si="15"/>
        <v>1</v>
      </c>
    </row>
    <row r="137" spans="1:11" x14ac:dyDescent="0.25">
      <c r="A137" s="10">
        <v>44697</v>
      </c>
      <c r="B137" s="11">
        <v>0.19262731481481482</v>
      </c>
      <c r="C137" s="11">
        <v>0.8523263888888889</v>
      </c>
      <c r="D137" s="12">
        <v>0</v>
      </c>
      <c r="E137" s="12">
        <v>16.309999999999999</v>
      </c>
      <c r="F137" s="12">
        <v>5.36</v>
      </c>
      <c r="G137" s="13">
        <v>1.89</v>
      </c>
      <c r="H137">
        <f t="shared" si="12"/>
        <v>1</v>
      </c>
      <c r="I137">
        <f t="shared" si="13"/>
        <v>1</v>
      </c>
      <c r="J137">
        <f t="shared" si="14"/>
        <v>1</v>
      </c>
      <c r="K137">
        <f t="shared" si="15"/>
        <v>2</v>
      </c>
    </row>
    <row r="138" spans="1:11" x14ac:dyDescent="0.25">
      <c r="A138" s="6">
        <v>44698</v>
      </c>
      <c r="B138" s="7">
        <v>0.19158564814814816</v>
      </c>
      <c r="C138" s="7">
        <v>0.85340277777777773</v>
      </c>
      <c r="D138" s="8">
        <v>0</v>
      </c>
      <c r="E138" s="8">
        <v>14.39</v>
      </c>
      <c r="F138" s="8">
        <v>5.34</v>
      </c>
      <c r="G138" s="9">
        <v>1.1399999999999999</v>
      </c>
      <c r="H138">
        <f t="shared" si="12"/>
        <v>1</v>
      </c>
      <c r="I138">
        <f t="shared" si="13"/>
        <v>0</v>
      </c>
      <c r="J138">
        <f t="shared" si="14"/>
        <v>0</v>
      </c>
      <c r="K138">
        <f t="shared" si="15"/>
        <v>0</v>
      </c>
    </row>
    <row r="139" spans="1:11" x14ac:dyDescent="0.25">
      <c r="A139" s="10">
        <v>44699</v>
      </c>
      <c r="B139" s="11">
        <v>0.19059027777777779</v>
      </c>
      <c r="C139" s="11">
        <v>0.85445601851851849</v>
      </c>
      <c r="D139" s="12">
        <v>0</v>
      </c>
      <c r="E139" s="12">
        <v>15.29</v>
      </c>
      <c r="F139" s="12">
        <v>4.59</v>
      </c>
      <c r="G139" s="13">
        <v>1.27</v>
      </c>
      <c r="H139">
        <f t="shared" si="12"/>
        <v>1</v>
      </c>
      <c r="I139">
        <f t="shared" si="13"/>
        <v>1</v>
      </c>
      <c r="J139">
        <f t="shared" si="14"/>
        <v>1</v>
      </c>
      <c r="K139">
        <f t="shared" si="15"/>
        <v>1</v>
      </c>
    </row>
    <row r="140" spans="1:11" x14ac:dyDescent="0.25">
      <c r="A140" s="6">
        <v>44700</v>
      </c>
      <c r="B140" s="7">
        <v>0.18960648148148149</v>
      </c>
      <c r="C140" s="7">
        <v>0.85549768518518521</v>
      </c>
      <c r="D140" s="8">
        <v>5</v>
      </c>
      <c r="E140" s="8">
        <v>5.77</v>
      </c>
      <c r="F140" s="8">
        <v>2.58</v>
      </c>
      <c r="G140" s="9">
        <v>1.1599999999999999</v>
      </c>
      <c r="H140">
        <f t="shared" si="12"/>
        <v>0</v>
      </c>
      <c r="I140">
        <f t="shared" si="13"/>
        <v>0</v>
      </c>
      <c r="J140">
        <f t="shared" si="14"/>
        <v>0</v>
      </c>
      <c r="K140">
        <f t="shared" si="15"/>
        <v>0</v>
      </c>
    </row>
    <row r="141" spans="1:11" x14ac:dyDescent="0.25">
      <c r="A141" s="10">
        <v>44701</v>
      </c>
      <c r="B141" s="11">
        <v>0.18864583333333335</v>
      </c>
      <c r="C141" s="11">
        <v>0.85652777777777778</v>
      </c>
      <c r="D141" s="12">
        <v>3</v>
      </c>
      <c r="E141" s="12">
        <v>6.62</v>
      </c>
      <c r="F141" s="12">
        <v>4.3</v>
      </c>
      <c r="G141" s="13">
        <v>2.2799999999999998</v>
      </c>
      <c r="H141">
        <f t="shared" si="12"/>
        <v>1</v>
      </c>
      <c r="I141">
        <f t="shared" si="13"/>
        <v>1</v>
      </c>
      <c r="J141">
        <f t="shared" si="14"/>
        <v>1</v>
      </c>
      <c r="K141">
        <f t="shared" si="15"/>
        <v>1</v>
      </c>
    </row>
    <row r="142" spans="1:11" x14ac:dyDescent="0.25">
      <c r="A142" s="6">
        <v>44702</v>
      </c>
      <c r="B142" s="7">
        <v>0.1877199074074074</v>
      </c>
      <c r="C142" s="7">
        <v>0.85754629629629631</v>
      </c>
      <c r="D142" s="8">
        <v>2</v>
      </c>
      <c r="E142" s="8">
        <v>5.03</v>
      </c>
      <c r="F142" s="8">
        <v>2.81</v>
      </c>
      <c r="G142" s="9">
        <v>3.05</v>
      </c>
      <c r="H142">
        <f t="shared" si="12"/>
        <v>1</v>
      </c>
      <c r="I142">
        <f t="shared" si="13"/>
        <v>0</v>
      </c>
      <c r="J142">
        <f t="shared" si="14"/>
        <v>0</v>
      </c>
      <c r="K142">
        <f t="shared" si="15"/>
        <v>0</v>
      </c>
    </row>
    <row r="143" spans="1:11" x14ac:dyDescent="0.25">
      <c r="A143" s="10">
        <v>44703</v>
      </c>
      <c r="B143" s="11">
        <v>0.18682870370370369</v>
      </c>
      <c r="C143" s="11">
        <v>0.85854166666666665</v>
      </c>
      <c r="D143" s="12">
        <v>0</v>
      </c>
      <c r="E143" s="12">
        <v>14.1</v>
      </c>
      <c r="F143" s="12">
        <v>4.04</v>
      </c>
      <c r="G143" s="13">
        <v>2.86</v>
      </c>
      <c r="H143">
        <f t="shared" si="12"/>
        <v>1</v>
      </c>
      <c r="I143">
        <f t="shared" si="13"/>
        <v>1</v>
      </c>
      <c r="J143">
        <f t="shared" si="14"/>
        <v>1</v>
      </c>
      <c r="K143">
        <f t="shared" si="15"/>
        <v>1</v>
      </c>
    </row>
    <row r="144" spans="1:11" x14ac:dyDescent="0.25">
      <c r="A144" s="6">
        <v>44704</v>
      </c>
      <c r="B144" s="7">
        <v>0.18594907407407407</v>
      </c>
      <c r="C144" s="7">
        <v>0.85952546296296295</v>
      </c>
      <c r="D144" s="8">
        <v>8</v>
      </c>
      <c r="E144" s="8">
        <v>1.36</v>
      </c>
      <c r="F144" s="8">
        <v>0.57999999999999996</v>
      </c>
      <c r="G144" s="9">
        <v>4.95</v>
      </c>
      <c r="H144">
        <f t="shared" si="12"/>
        <v>0</v>
      </c>
      <c r="I144">
        <f t="shared" si="13"/>
        <v>0</v>
      </c>
      <c r="J144">
        <f t="shared" si="14"/>
        <v>0</v>
      </c>
      <c r="K144">
        <f t="shared" si="15"/>
        <v>0</v>
      </c>
    </row>
    <row r="145" spans="1:11" x14ac:dyDescent="0.25">
      <c r="A145" s="10">
        <v>44705</v>
      </c>
      <c r="B145" s="11">
        <v>0.18511574074074075</v>
      </c>
      <c r="C145" s="11">
        <v>0.86049768518518521</v>
      </c>
      <c r="D145" s="12">
        <v>8</v>
      </c>
      <c r="E145" s="12">
        <v>1.71</v>
      </c>
      <c r="F145" s="12">
        <v>0.14000000000000001</v>
      </c>
      <c r="G145" s="13">
        <v>3.51</v>
      </c>
      <c r="H145">
        <f t="shared" si="12"/>
        <v>1</v>
      </c>
      <c r="I145">
        <f t="shared" si="13"/>
        <v>1</v>
      </c>
      <c r="J145">
        <f t="shared" si="14"/>
        <v>1</v>
      </c>
      <c r="K145">
        <f t="shared" si="15"/>
        <v>1</v>
      </c>
    </row>
    <row r="146" spans="1:11" x14ac:dyDescent="0.25">
      <c r="A146" s="6">
        <v>44706</v>
      </c>
      <c r="B146" s="7">
        <v>0.18429398148148149</v>
      </c>
      <c r="C146" s="7">
        <v>0.86144675925925929</v>
      </c>
      <c r="D146" s="8">
        <v>6</v>
      </c>
      <c r="E146" s="8">
        <v>1.6</v>
      </c>
      <c r="F146" s="8">
        <v>0.94</v>
      </c>
      <c r="G146" s="9">
        <v>4.68</v>
      </c>
      <c r="H146">
        <f t="shared" si="12"/>
        <v>1</v>
      </c>
      <c r="I146">
        <f t="shared" si="13"/>
        <v>0</v>
      </c>
      <c r="J146">
        <f t="shared" si="14"/>
        <v>0</v>
      </c>
      <c r="K146" s="22">
        <f t="shared" si="15"/>
        <v>0</v>
      </c>
    </row>
    <row r="147" spans="1:11" x14ac:dyDescent="0.25">
      <c r="A147" s="10">
        <v>44707</v>
      </c>
      <c r="B147" s="11">
        <v>0.18351851851851853</v>
      </c>
      <c r="C147" s="11">
        <v>0.86237268518518517</v>
      </c>
      <c r="D147" s="12">
        <v>4</v>
      </c>
      <c r="E147" s="12">
        <v>2.0699999999999998</v>
      </c>
      <c r="F147" s="12">
        <v>1.05</v>
      </c>
      <c r="G147" s="13">
        <v>3.94</v>
      </c>
      <c r="H147">
        <f t="shared" si="12"/>
        <v>1</v>
      </c>
      <c r="I147">
        <f t="shared" si="13"/>
        <v>1</v>
      </c>
      <c r="J147">
        <f t="shared" si="14"/>
        <v>1</v>
      </c>
      <c r="K147" s="22">
        <f t="shared" si="15"/>
        <v>1</v>
      </c>
    </row>
    <row r="148" spans="1:11" x14ac:dyDescent="0.25">
      <c r="A148" s="6">
        <v>44708</v>
      </c>
      <c r="B148" s="7">
        <v>0.18276620370370369</v>
      </c>
      <c r="C148" s="7">
        <v>0.86328703703703702</v>
      </c>
      <c r="D148" s="8">
        <v>4</v>
      </c>
      <c r="E148" s="8">
        <v>2.96</v>
      </c>
      <c r="F148" s="8">
        <v>1.06</v>
      </c>
      <c r="G148" s="9">
        <v>3.59</v>
      </c>
      <c r="H148">
        <f t="shared" si="12"/>
        <v>1</v>
      </c>
      <c r="I148">
        <f t="shared" si="13"/>
        <v>1</v>
      </c>
      <c r="J148">
        <f t="shared" si="14"/>
        <v>1</v>
      </c>
      <c r="K148" s="22">
        <f t="shared" si="15"/>
        <v>2</v>
      </c>
    </row>
    <row r="149" spans="1:11" x14ac:dyDescent="0.25">
      <c r="A149" s="10">
        <v>44709</v>
      </c>
      <c r="B149" s="11">
        <v>0.18203703703703702</v>
      </c>
      <c r="C149" s="11">
        <v>0.86416666666666664</v>
      </c>
      <c r="D149" s="12">
        <v>3</v>
      </c>
      <c r="E149" s="12">
        <v>5.78</v>
      </c>
      <c r="F149" s="12">
        <v>4.2</v>
      </c>
      <c r="G149" s="13">
        <v>2.96</v>
      </c>
      <c r="H149">
        <f t="shared" si="12"/>
        <v>1</v>
      </c>
      <c r="I149">
        <f t="shared" si="13"/>
        <v>1</v>
      </c>
      <c r="J149">
        <f t="shared" si="14"/>
        <v>1</v>
      </c>
      <c r="K149" s="22">
        <f t="shared" si="15"/>
        <v>3</v>
      </c>
    </row>
    <row r="150" spans="1:11" x14ac:dyDescent="0.25">
      <c r="A150" s="6">
        <v>44710</v>
      </c>
      <c r="B150" s="7">
        <v>0.18135416666666668</v>
      </c>
      <c r="C150" s="7">
        <v>0.86504629629629626</v>
      </c>
      <c r="D150" s="8">
        <v>1</v>
      </c>
      <c r="E150" s="8">
        <v>15.38</v>
      </c>
      <c r="F150" s="8">
        <v>10.54</v>
      </c>
      <c r="G150" s="9">
        <v>2.16</v>
      </c>
      <c r="H150">
        <f t="shared" si="12"/>
        <v>1</v>
      </c>
      <c r="I150">
        <f t="shared" si="13"/>
        <v>1</v>
      </c>
      <c r="J150">
        <f t="shared" si="14"/>
        <v>1</v>
      </c>
      <c r="K150" s="22">
        <f t="shared" si="15"/>
        <v>4</v>
      </c>
    </row>
    <row r="151" spans="1:11" x14ac:dyDescent="0.25">
      <c r="A151" s="10">
        <v>44711</v>
      </c>
      <c r="B151" s="11">
        <v>0.18069444444444444</v>
      </c>
      <c r="C151" s="11">
        <v>0.86589120370370365</v>
      </c>
      <c r="D151" s="12">
        <v>1</v>
      </c>
      <c r="E151" s="12">
        <v>15.89</v>
      </c>
      <c r="F151" s="12">
        <v>9.68</v>
      </c>
      <c r="G151" s="13">
        <v>1.24</v>
      </c>
      <c r="H151">
        <f t="shared" si="12"/>
        <v>1</v>
      </c>
      <c r="I151">
        <f t="shared" si="13"/>
        <v>1</v>
      </c>
      <c r="J151">
        <f t="shared" si="14"/>
        <v>1</v>
      </c>
      <c r="K151" s="22">
        <f t="shared" si="15"/>
        <v>5</v>
      </c>
    </row>
    <row r="152" spans="1:11" x14ac:dyDescent="0.25">
      <c r="A152" s="6">
        <v>44712</v>
      </c>
      <c r="B152" s="7">
        <v>0.18006944444444445</v>
      </c>
      <c r="C152" s="7">
        <v>0.86671296296296296</v>
      </c>
      <c r="D152" s="8">
        <v>0</v>
      </c>
      <c r="E152" s="8">
        <v>18.7</v>
      </c>
      <c r="F152" s="8">
        <v>9.4</v>
      </c>
      <c r="G152" s="9">
        <v>0.39</v>
      </c>
      <c r="H152">
        <f t="shared" si="12"/>
        <v>1</v>
      </c>
      <c r="I152">
        <f t="shared" si="13"/>
        <v>1</v>
      </c>
      <c r="J152">
        <f t="shared" si="14"/>
        <v>1</v>
      </c>
      <c r="K152" s="22">
        <f t="shared" si="15"/>
        <v>6</v>
      </c>
    </row>
    <row r="153" spans="1:11" x14ac:dyDescent="0.25">
      <c r="A153" s="10">
        <v>44713</v>
      </c>
      <c r="B153" s="11">
        <v>0.17947916666666666</v>
      </c>
      <c r="C153" s="11">
        <v>0.86751157407407409</v>
      </c>
      <c r="D153" s="12">
        <v>0</v>
      </c>
      <c r="E153" s="12">
        <v>14.56</v>
      </c>
      <c r="F153" s="12">
        <v>3.3</v>
      </c>
      <c r="G153" s="13">
        <v>0.64</v>
      </c>
      <c r="H153">
        <f t="shared" si="12"/>
        <v>1</v>
      </c>
      <c r="I153">
        <f t="shared" si="13"/>
        <v>0</v>
      </c>
      <c r="J153">
        <f t="shared" si="14"/>
        <v>0</v>
      </c>
      <c r="K153">
        <f t="shared" si="15"/>
        <v>0</v>
      </c>
    </row>
    <row r="154" spans="1:11" x14ac:dyDescent="0.25">
      <c r="A154" s="6">
        <v>44714</v>
      </c>
      <c r="B154" s="7">
        <v>0.1789236111111111</v>
      </c>
      <c r="C154" s="7">
        <v>0.86828703703703702</v>
      </c>
      <c r="D154" s="8">
        <v>3</v>
      </c>
      <c r="E154" s="8">
        <v>5.87</v>
      </c>
      <c r="F154" s="8">
        <v>2.16</v>
      </c>
      <c r="G154" s="9">
        <v>2.14</v>
      </c>
      <c r="H154">
        <f t="shared" si="12"/>
        <v>0</v>
      </c>
      <c r="I154">
        <f t="shared" si="13"/>
        <v>0</v>
      </c>
      <c r="J154">
        <f t="shared" si="14"/>
        <v>0</v>
      </c>
      <c r="K154">
        <f t="shared" si="15"/>
        <v>0</v>
      </c>
    </row>
    <row r="155" spans="1:11" x14ac:dyDescent="0.25">
      <c r="A155" s="10">
        <v>44715</v>
      </c>
      <c r="B155" s="11">
        <v>0.17840277777777777</v>
      </c>
      <c r="C155" s="11">
        <v>0.86903935185185188</v>
      </c>
      <c r="D155" s="12">
        <v>0</v>
      </c>
      <c r="E155" s="12">
        <v>19.62</v>
      </c>
      <c r="F155" s="12">
        <v>9.23</v>
      </c>
      <c r="G155" s="13">
        <v>0.34</v>
      </c>
      <c r="H155">
        <f t="shared" si="12"/>
        <v>1</v>
      </c>
      <c r="I155">
        <f t="shared" si="13"/>
        <v>1</v>
      </c>
      <c r="J155">
        <f t="shared" si="14"/>
        <v>1</v>
      </c>
      <c r="K155">
        <f t="shared" si="15"/>
        <v>1</v>
      </c>
    </row>
    <row r="156" spans="1:11" x14ac:dyDescent="0.25">
      <c r="A156" s="6">
        <v>44716</v>
      </c>
      <c r="B156" s="7">
        <v>0.17791666666666667</v>
      </c>
      <c r="C156" s="7">
        <v>0.8697569444444444</v>
      </c>
      <c r="D156" s="8">
        <v>2</v>
      </c>
      <c r="E156" s="8">
        <v>5.79</v>
      </c>
      <c r="F156" s="8">
        <v>1.35</v>
      </c>
      <c r="G156" s="9">
        <v>1.1200000000000001</v>
      </c>
      <c r="H156">
        <f t="shared" si="12"/>
        <v>0</v>
      </c>
      <c r="I156">
        <f t="shared" si="13"/>
        <v>0</v>
      </c>
      <c r="J156">
        <f t="shared" si="14"/>
        <v>0</v>
      </c>
      <c r="K156">
        <f t="shared" si="15"/>
        <v>0</v>
      </c>
    </row>
    <row r="157" spans="1:11" x14ac:dyDescent="0.25">
      <c r="A157" s="10">
        <v>44717</v>
      </c>
      <c r="B157" s="11">
        <v>0.1774537037037037</v>
      </c>
      <c r="C157" s="11">
        <v>0.87045138888888884</v>
      </c>
      <c r="D157" s="12">
        <v>1</v>
      </c>
      <c r="E157" s="12">
        <v>10.67</v>
      </c>
      <c r="F157" s="12">
        <v>5.16</v>
      </c>
      <c r="G157" s="13">
        <v>2.68</v>
      </c>
      <c r="H157">
        <f t="shared" si="12"/>
        <v>1</v>
      </c>
      <c r="I157">
        <f t="shared" si="13"/>
        <v>1</v>
      </c>
      <c r="J157">
        <f t="shared" si="14"/>
        <v>1</v>
      </c>
      <c r="K157">
        <f t="shared" si="15"/>
        <v>1</v>
      </c>
    </row>
    <row r="158" spans="1:11" x14ac:dyDescent="0.25">
      <c r="A158" s="6">
        <v>44718</v>
      </c>
      <c r="B158" s="7">
        <v>0.17703703703703705</v>
      </c>
      <c r="C158" s="7">
        <v>0.87112268518518521</v>
      </c>
      <c r="D158" s="8">
        <v>0</v>
      </c>
      <c r="E158" s="8">
        <v>12.47</v>
      </c>
      <c r="F158" s="8">
        <v>3.15</v>
      </c>
      <c r="G158" s="9">
        <v>1.34</v>
      </c>
      <c r="H158">
        <f t="shared" si="12"/>
        <v>1</v>
      </c>
      <c r="I158">
        <f t="shared" si="13"/>
        <v>1</v>
      </c>
      <c r="J158">
        <f t="shared" si="14"/>
        <v>1</v>
      </c>
      <c r="K158">
        <f t="shared" si="15"/>
        <v>2</v>
      </c>
    </row>
    <row r="159" spans="1:11" x14ac:dyDescent="0.25">
      <c r="A159" s="10">
        <v>44719</v>
      </c>
      <c r="B159" s="11">
        <v>0.1766550925925926</v>
      </c>
      <c r="C159" s="11">
        <v>0.87175925925925923</v>
      </c>
      <c r="D159" s="12">
        <v>0</v>
      </c>
      <c r="E159" s="12">
        <v>19.79</v>
      </c>
      <c r="F159" s="12">
        <v>12.84</v>
      </c>
      <c r="G159" s="13">
        <v>3.5</v>
      </c>
      <c r="H159">
        <f t="shared" si="12"/>
        <v>1</v>
      </c>
      <c r="I159">
        <f t="shared" si="13"/>
        <v>1</v>
      </c>
      <c r="J159">
        <f t="shared" si="14"/>
        <v>1</v>
      </c>
      <c r="K159">
        <f t="shared" si="15"/>
        <v>3</v>
      </c>
    </row>
    <row r="160" spans="1:11" x14ac:dyDescent="0.25">
      <c r="A160" s="6">
        <v>44720</v>
      </c>
      <c r="B160" s="7">
        <v>0.17631944444444445</v>
      </c>
      <c r="C160" s="7">
        <v>0.87237268518518518</v>
      </c>
      <c r="D160" s="8">
        <v>0</v>
      </c>
      <c r="E160" s="8">
        <v>12.57</v>
      </c>
      <c r="F160" s="8">
        <v>6.64</v>
      </c>
      <c r="G160" s="9">
        <v>3.26</v>
      </c>
      <c r="H160">
        <f t="shared" si="12"/>
        <v>1</v>
      </c>
      <c r="I160">
        <f t="shared" si="13"/>
        <v>0</v>
      </c>
      <c r="J160">
        <f t="shared" si="14"/>
        <v>0</v>
      </c>
      <c r="K160">
        <f t="shared" si="15"/>
        <v>0</v>
      </c>
    </row>
    <row r="161" spans="1:11" x14ac:dyDescent="0.25">
      <c r="A161" s="10">
        <v>44721</v>
      </c>
      <c r="B161" s="11">
        <v>0.17600694444444445</v>
      </c>
      <c r="C161" s="11">
        <v>0.8729513888888889</v>
      </c>
      <c r="D161" s="12">
        <v>4</v>
      </c>
      <c r="E161" s="12">
        <v>4.3</v>
      </c>
      <c r="F161" s="12">
        <v>2.36</v>
      </c>
      <c r="G161" s="13">
        <v>3.54</v>
      </c>
      <c r="H161">
        <f t="shared" si="12"/>
        <v>0</v>
      </c>
      <c r="I161">
        <f t="shared" si="13"/>
        <v>0</v>
      </c>
      <c r="J161">
        <f t="shared" si="14"/>
        <v>0</v>
      </c>
      <c r="K161">
        <f t="shared" si="15"/>
        <v>0</v>
      </c>
    </row>
    <row r="162" spans="1:11" x14ac:dyDescent="0.25">
      <c r="A162" s="6">
        <v>44722</v>
      </c>
      <c r="B162" s="7">
        <v>0.17572916666666666</v>
      </c>
      <c r="C162" s="7">
        <v>0.87349537037037039</v>
      </c>
      <c r="D162" s="8">
        <v>1</v>
      </c>
      <c r="E162" s="8">
        <v>12.65</v>
      </c>
      <c r="F162" s="8">
        <v>6.94</v>
      </c>
      <c r="G162" s="9">
        <v>3.24</v>
      </c>
      <c r="H162">
        <f t="shared" si="12"/>
        <v>1</v>
      </c>
      <c r="I162">
        <f t="shared" si="13"/>
        <v>1</v>
      </c>
      <c r="J162">
        <f t="shared" si="14"/>
        <v>1</v>
      </c>
      <c r="K162">
        <f t="shared" si="15"/>
        <v>1</v>
      </c>
    </row>
    <row r="163" spans="1:11" x14ac:dyDescent="0.25">
      <c r="A163" s="10">
        <v>44723</v>
      </c>
      <c r="B163" s="11">
        <v>0.17549768518518519</v>
      </c>
      <c r="C163" s="11">
        <v>0.8740162037037037</v>
      </c>
      <c r="D163" s="12">
        <v>1</v>
      </c>
      <c r="E163" s="12">
        <v>8.86</v>
      </c>
      <c r="F163" s="12">
        <v>2.94</v>
      </c>
      <c r="G163" s="13">
        <v>1.68</v>
      </c>
      <c r="H163">
        <f t="shared" si="12"/>
        <v>1</v>
      </c>
      <c r="I163">
        <f t="shared" si="13"/>
        <v>0</v>
      </c>
      <c r="J163">
        <f t="shared" si="14"/>
        <v>0</v>
      </c>
      <c r="K163">
        <f t="shared" si="15"/>
        <v>0</v>
      </c>
    </row>
    <row r="164" spans="1:11" x14ac:dyDescent="0.25">
      <c r="A164" s="6">
        <v>44724</v>
      </c>
      <c r="B164" s="7">
        <v>0.17530092592592592</v>
      </c>
      <c r="C164" s="7">
        <v>0.87450231481481477</v>
      </c>
      <c r="D164" s="8">
        <v>3</v>
      </c>
      <c r="E164" s="8">
        <v>5.64</v>
      </c>
      <c r="F164" s="8">
        <v>4.25</v>
      </c>
      <c r="G164" s="9">
        <v>4.95</v>
      </c>
      <c r="H164">
        <f t="shared" si="12"/>
        <v>0</v>
      </c>
      <c r="I164">
        <f t="shared" si="13"/>
        <v>0</v>
      </c>
      <c r="J164">
        <f t="shared" si="14"/>
        <v>0</v>
      </c>
      <c r="K164">
        <f t="shared" si="15"/>
        <v>0</v>
      </c>
    </row>
    <row r="165" spans="1:11" x14ac:dyDescent="0.25">
      <c r="A165" s="10">
        <v>44725</v>
      </c>
      <c r="B165" s="11">
        <v>0.1751388888888889</v>
      </c>
      <c r="C165" s="11">
        <v>0.87495370370370373</v>
      </c>
      <c r="D165" s="12">
        <v>2</v>
      </c>
      <c r="E165" s="12">
        <v>6.89</v>
      </c>
      <c r="F165" s="12">
        <v>3.98</v>
      </c>
      <c r="G165" s="13">
        <v>2.4900000000000002</v>
      </c>
      <c r="H165">
        <f t="shared" si="12"/>
        <v>1</v>
      </c>
      <c r="I165">
        <f t="shared" si="13"/>
        <v>1</v>
      </c>
      <c r="J165">
        <f t="shared" si="14"/>
        <v>1</v>
      </c>
      <c r="K165">
        <f t="shared" si="15"/>
        <v>1</v>
      </c>
    </row>
    <row r="166" spans="1:11" x14ac:dyDescent="0.25">
      <c r="A166" s="6">
        <v>44726</v>
      </c>
      <c r="B166" s="7">
        <v>0.17501157407407408</v>
      </c>
      <c r="C166" s="7">
        <v>0.87537037037037035</v>
      </c>
      <c r="D166" s="8">
        <v>0</v>
      </c>
      <c r="E166" s="8">
        <v>14.03</v>
      </c>
      <c r="F166" s="8">
        <v>5.68</v>
      </c>
      <c r="G166" s="9">
        <v>2.95</v>
      </c>
      <c r="H166">
        <f t="shared" si="12"/>
        <v>1</v>
      </c>
      <c r="I166">
        <f t="shared" si="13"/>
        <v>1</v>
      </c>
      <c r="J166">
        <f t="shared" si="14"/>
        <v>1</v>
      </c>
      <c r="K166">
        <f t="shared" si="15"/>
        <v>2</v>
      </c>
    </row>
    <row r="167" spans="1:11" x14ac:dyDescent="0.25">
      <c r="A167" s="10">
        <v>44727</v>
      </c>
      <c r="B167" s="11">
        <v>0.17493055555555556</v>
      </c>
      <c r="C167" s="11">
        <v>0.87575231481481486</v>
      </c>
      <c r="D167" s="12">
        <v>1</v>
      </c>
      <c r="E167" s="12">
        <v>11.04</v>
      </c>
      <c r="F167" s="12">
        <v>4.9400000000000004</v>
      </c>
      <c r="G167" s="13">
        <v>3.41</v>
      </c>
      <c r="H167">
        <f t="shared" si="12"/>
        <v>0</v>
      </c>
      <c r="I167">
        <f t="shared" si="13"/>
        <v>0</v>
      </c>
      <c r="J167">
        <f t="shared" si="14"/>
        <v>0</v>
      </c>
      <c r="K167">
        <f t="shared" si="15"/>
        <v>0</v>
      </c>
    </row>
    <row r="168" spans="1:11" x14ac:dyDescent="0.25">
      <c r="A168" s="6">
        <v>44728</v>
      </c>
      <c r="B168" s="7">
        <v>0.17487268518518517</v>
      </c>
      <c r="C168" s="7">
        <v>0.87609953703703702</v>
      </c>
      <c r="D168" s="8">
        <v>0</v>
      </c>
      <c r="E168" s="8">
        <v>11.7</v>
      </c>
      <c r="F168" s="8">
        <v>4.79</v>
      </c>
      <c r="G168" s="9">
        <v>2.5099999999999998</v>
      </c>
      <c r="H168">
        <f t="shared" si="12"/>
        <v>1</v>
      </c>
      <c r="I168">
        <f t="shared" si="13"/>
        <v>1</v>
      </c>
      <c r="J168">
        <f t="shared" si="14"/>
        <v>1</v>
      </c>
      <c r="K168">
        <f t="shared" si="15"/>
        <v>1</v>
      </c>
    </row>
    <row r="169" spans="1:11" x14ac:dyDescent="0.25">
      <c r="A169" s="10">
        <v>44729</v>
      </c>
      <c r="B169" s="11">
        <v>0.17486111111111111</v>
      </c>
      <c r="C169" s="11">
        <v>0.87641203703703707</v>
      </c>
      <c r="D169" s="12">
        <v>3</v>
      </c>
      <c r="E169" s="12">
        <v>5.39</v>
      </c>
      <c r="F169" s="12">
        <v>4.6500000000000004</v>
      </c>
      <c r="G169" s="13">
        <v>4.25</v>
      </c>
      <c r="H169">
        <f t="shared" si="12"/>
        <v>0</v>
      </c>
      <c r="I169">
        <f t="shared" si="13"/>
        <v>0</v>
      </c>
      <c r="J169">
        <f t="shared" si="14"/>
        <v>0</v>
      </c>
      <c r="K169">
        <f t="shared" si="15"/>
        <v>0</v>
      </c>
    </row>
    <row r="170" spans="1:11" x14ac:dyDescent="0.25">
      <c r="A170" s="6">
        <v>44730</v>
      </c>
      <c r="B170" s="7">
        <v>0.17488425925925927</v>
      </c>
      <c r="C170" s="7">
        <v>0.87668981481481478</v>
      </c>
      <c r="D170" s="8">
        <v>0</v>
      </c>
      <c r="E170" s="8">
        <v>11.1</v>
      </c>
      <c r="F170" s="8">
        <v>4.6399999999999997</v>
      </c>
      <c r="G170" s="9">
        <v>3.54</v>
      </c>
      <c r="H170">
        <f t="shared" si="12"/>
        <v>1</v>
      </c>
      <c r="I170">
        <f t="shared" si="13"/>
        <v>1</v>
      </c>
      <c r="J170">
        <f t="shared" si="14"/>
        <v>1</v>
      </c>
      <c r="K170">
        <f t="shared" si="15"/>
        <v>1</v>
      </c>
    </row>
    <row r="171" spans="1:11" x14ac:dyDescent="0.25">
      <c r="A171" s="10">
        <v>44731</v>
      </c>
      <c r="B171" s="11">
        <v>0.17495370370370369</v>
      </c>
      <c r="C171" s="11">
        <v>0.87693287037037038</v>
      </c>
      <c r="D171" s="12">
        <v>0</v>
      </c>
      <c r="E171" s="12">
        <v>15.81</v>
      </c>
      <c r="F171" s="12">
        <v>7.63</v>
      </c>
      <c r="G171" s="13">
        <v>2.02</v>
      </c>
      <c r="H171">
        <f t="shared" si="12"/>
        <v>1</v>
      </c>
      <c r="I171">
        <f t="shared" si="13"/>
        <v>1</v>
      </c>
      <c r="J171">
        <f t="shared" si="14"/>
        <v>1</v>
      </c>
      <c r="K171">
        <f t="shared" si="15"/>
        <v>2</v>
      </c>
    </row>
    <row r="172" spans="1:11" x14ac:dyDescent="0.25">
      <c r="A172" s="6">
        <v>44732</v>
      </c>
      <c r="B172" s="7">
        <v>0.17504629629629628</v>
      </c>
      <c r="C172" s="7">
        <v>0.87712962962962959</v>
      </c>
      <c r="D172" s="8">
        <v>2</v>
      </c>
      <c r="E172" s="8">
        <v>8.8800000000000008</v>
      </c>
      <c r="F172" s="8">
        <v>6.14</v>
      </c>
      <c r="G172" s="9">
        <v>3.61</v>
      </c>
      <c r="H172">
        <f t="shared" si="12"/>
        <v>0</v>
      </c>
      <c r="I172">
        <f t="shared" si="13"/>
        <v>0</v>
      </c>
      <c r="J172">
        <f t="shared" si="14"/>
        <v>0</v>
      </c>
      <c r="K172">
        <f t="shared" si="15"/>
        <v>0</v>
      </c>
    </row>
    <row r="173" spans="1:11" x14ac:dyDescent="0.25">
      <c r="A173" s="10">
        <v>44733</v>
      </c>
      <c r="B173" s="11">
        <v>0.17518518518518519</v>
      </c>
      <c r="C173" s="11">
        <v>0.87730324074074073</v>
      </c>
      <c r="D173" s="12">
        <v>0</v>
      </c>
      <c r="E173" s="12">
        <v>14.44</v>
      </c>
      <c r="F173" s="12">
        <v>3.61</v>
      </c>
      <c r="G173" s="13">
        <v>0.56999999999999995</v>
      </c>
      <c r="H173">
        <f t="shared" si="12"/>
        <v>1</v>
      </c>
      <c r="I173">
        <f t="shared" si="13"/>
        <v>1</v>
      </c>
      <c r="J173">
        <f t="shared" si="14"/>
        <v>1</v>
      </c>
      <c r="K173">
        <f t="shared" si="15"/>
        <v>1</v>
      </c>
    </row>
    <row r="174" spans="1:11" x14ac:dyDescent="0.25">
      <c r="A174" s="6">
        <v>44734</v>
      </c>
      <c r="B174" s="7">
        <v>0.1753587962962963</v>
      </c>
      <c r="C174" s="7">
        <v>0.8774305555555556</v>
      </c>
      <c r="D174" s="8">
        <v>1</v>
      </c>
      <c r="E174" s="8">
        <v>9.7899999999999991</v>
      </c>
      <c r="F174" s="8">
        <v>4.8</v>
      </c>
      <c r="G174" s="9">
        <v>3.05</v>
      </c>
      <c r="H174">
        <f t="shared" si="12"/>
        <v>0</v>
      </c>
      <c r="I174">
        <f t="shared" si="13"/>
        <v>0</v>
      </c>
      <c r="J174">
        <f t="shared" si="14"/>
        <v>0</v>
      </c>
      <c r="K174">
        <f t="shared" si="15"/>
        <v>0</v>
      </c>
    </row>
    <row r="175" spans="1:11" x14ac:dyDescent="0.25">
      <c r="A175" s="10">
        <v>44735</v>
      </c>
      <c r="B175" s="11">
        <v>0.17556712962962964</v>
      </c>
      <c r="C175" s="11">
        <v>0.87752314814814814</v>
      </c>
      <c r="D175" s="12">
        <v>0</v>
      </c>
      <c r="E175" s="12">
        <v>14.78</v>
      </c>
      <c r="F175" s="12">
        <v>6.76</v>
      </c>
      <c r="G175" s="13">
        <v>3.64</v>
      </c>
      <c r="H175">
        <f t="shared" si="12"/>
        <v>1</v>
      </c>
      <c r="I175">
        <f t="shared" si="13"/>
        <v>1</v>
      </c>
      <c r="J175">
        <f t="shared" si="14"/>
        <v>1</v>
      </c>
      <c r="K175">
        <f t="shared" si="15"/>
        <v>1</v>
      </c>
    </row>
    <row r="176" spans="1:11" x14ac:dyDescent="0.25">
      <c r="A176" s="6">
        <v>44736</v>
      </c>
      <c r="B176" s="7">
        <v>0.17581018518518518</v>
      </c>
      <c r="C176" s="7">
        <v>0.87758101851851855</v>
      </c>
      <c r="D176" s="8">
        <v>0</v>
      </c>
      <c r="E176" s="8">
        <v>14.52</v>
      </c>
      <c r="F176" s="8">
        <v>8.19</v>
      </c>
      <c r="G176" s="9">
        <v>3.95</v>
      </c>
      <c r="H176">
        <f t="shared" si="12"/>
        <v>1</v>
      </c>
      <c r="I176">
        <f t="shared" si="13"/>
        <v>0</v>
      </c>
      <c r="J176">
        <f t="shared" si="14"/>
        <v>0</v>
      </c>
      <c r="K176">
        <f t="shared" si="15"/>
        <v>0</v>
      </c>
    </row>
    <row r="177" spans="1:11" x14ac:dyDescent="0.25">
      <c r="A177" s="10">
        <v>44737</v>
      </c>
      <c r="B177" s="11">
        <v>0.17608796296296297</v>
      </c>
      <c r="C177" s="11">
        <v>0.87759259259259259</v>
      </c>
      <c r="D177" s="12">
        <v>3</v>
      </c>
      <c r="E177" s="12">
        <v>5.86</v>
      </c>
      <c r="F177" s="12">
        <v>4.1900000000000004</v>
      </c>
      <c r="G177" s="13">
        <v>3.85</v>
      </c>
      <c r="H177">
        <f t="shared" si="12"/>
        <v>0</v>
      </c>
      <c r="I177">
        <f t="shared" si="13"/>
        <v>0</v>
      </c>
      <c r="J177">
        <f t="shared" si="14"/>
        <v>0</v>
      </c>
      <c r="K177">
        <f t="shared" si="15"/>
        <v>0</v>
      </c>
    </row>
    <row r="178" spans="1:11" x14ac:dyDescent="0.25">
      <c r="A178" s="6">
        <v>44738</v>
      </c>
      <c r="B178" s="7">
        <v>0.17640046296296297</v>
      </c>
      <c r="C178" s="7">
        <v>0.8775694444444444</v>
      </c>
      <c r="D178" s="8">
        <v>1</v>
      </c>
      <c r="E178" s="8">
        <v>12.81</v>
      </c>
      <c r="F178" s="8">
        <v>7.18</v>
      </c>
      <c r="G178" s="9">
        <v>1.54</v>
      </c>
      <c r="H178">
        <f t="shared" si="12"/>
        <v>1</v>
      </c>
      <c r="I178">
        <f t="shared" si="13"/>
        <v>1</v>
      </c>
      <c r="J178">
        <f t="shared" si="14"/>
        <v>1</v>
      </c>
      <c r="K178">
        <f t="shared" si="15"/>
        <v>1</v>
      </c>
    </row>
    <row r="179" spans="1:11" x14ac:dyDescent="0.25">
      <c r="A179" s="10">
        <v>44739</v>
      </c>
      <c r="B179" s="11">
        <v>0.17674768518518519</v>
      </c>
      <c r="C179" s="11">
        <v>0.8775115740740741</v>
      </c>
      <c r="D179" s="12">
        <v>0</v>
      </c>
      <c r="E179" s="12">
        <v>13.22</v>
      </c>
      <c r="F179" s="12">
        <v>5.53</v>
      </c>
      <c r="G179" s="13">
        <v>4.26</v>
      </c>
      <c r="H179">
        <f t="shared" si="12"/>
        <v>1</v>
      </c>
      <c r="I179">
        <f t="shared" si="13"/>
        <v>1</v>
      </c>
      <c r="J179">
        <f t="shared" si="14"/>
        <v>1</v>
      </c>
      <c r="K179">
        <f t="shared" si="15"/>
        <v>2</v>
      </c>
    </row>
    <row r="180" spans="1:11" x14ac:dyDescent="0.25">
      <c r="A180" s="6">
        <v>44740</v>
      </c>
      <c r="B180" s="7">
        <v>0.17712962962962964</v>
      </c>
      <c r="C180" s="7">
        <v>0.87741898148148145</v>
      </c>
      <c r="D180" s="8">
        <v>0</v>
      </c>
      <c r="E180" s="8">
        <v>14.18</v>
      </c>
      <c r="F180" s="8">
        <v>6.49</v>
      </c>
      <c r="G180" s="9">
        <v>3.84</v>
      </c>
      <c r="H180">
        <f t="shared" si="12"/>
        <v>1</v>
      </c>
      <c r="I180">
        <f t="shared" si="13"/>
        <v>1</v>
      </c>
      <c r="J180">
        <f t="shared" si="14"/>
        <v>1</v>
      </c>
      <c r="K180">
        <f t="shared" si="15"/>
        <v>3</v>
      </c>
    </row>
    <row r="181" spans="1:11" x14ac:dyDescent="0.25">
      <c r="A181" s="10">
        <v>44741</v>
      </c>
      <c r="B181" s="11">
        <v>0.17754629629629629</v>
      </c>
      <c r="C181" s="11">
        <v>0.87729166666666669</v>
      </c>
      <c r="D181" s="12">
        <v>0</v>
      </c>
      <c r="E181" s="12">
        <v>18.47</v>
      </c>
      <c r="F181" s="12">
        <v>9.1999999999999993</v>
      </c>
      <c r="G181" s="13">
        <v>2.4700000000000002</v>
      </c>
      <c r="H181">
        <f t="shared" si="12"/>
        <v>1</v>
      </c>
      <c r="I181">
        <f t="shared" si="13"/>
        <v>1</v>
      </c>
      <c r="J181">
        <f t="shared" si="14"/>
        <v>1</v>
      </c>
      <c r="K181">
        <f t="shared" si="15"/>
        <v>4</v>
      </c>
    </row>
    <row r="182" spans="1:11" x14ac:dyDescent="0.25">
      <c r="A182" s="6">
        <v>44742</v>
      </c>
      <c r="B182" s="7">
        <v>0.17799768518518519</v>
      </c>
      <c r="C182" s="7">
        <v>0.87711805555555555</v>
      </c>
      <c r="D182" s="8">
        <v>3</v>
      </c>
      <c r="E182" s="8">
        <v>6.81</v>
      </c>
      <c r="F182" s="8">
        <v>2.59</v>
      </c>
      <c r="G182" s="9">
        <v>1.95</v>
      </c>
      <c r="H182">
        <f t="shared" si="12"/>
        <v>0</v>
      </c>
      <c r="I182">
        <f t="shared" si="13"/>
        <v>0</v>
      </c>
      <c r="J182">
        <f t="shared" si="14"/>
        <v>0</v>
      </c>
      <c r="K182">
        <f t="shared" si="15"/>
        <v>0</v>
      </c>
    </row>
    <row r="183" spans="1:11" x14ac:dyDescent="0.25">
      <c r="A183" s="10">
        <v>44743</v>
      </c>
      <c r="B183" s="11">
        <v>0.17847222222222223</v>
      </c>
      <c r="C183" s="11">
        <v>0.87690972222222219</v>
      </c>
      <c r="D183" s="12">
        <v>2</v>
      </c>
      <c r="E183" s="12">
        <v>2.96</v>
      </c>
      <c r="F183" s="12">
        <v>1.54</v>
      </c>
      <c r="G183" s="13">
        <v>4.5199999999999996</v>
      </c>
      <c r="H183">
        <f t="shared" si="12"/>
        <v>1</v>
      </c>
      <c r="I183">
        <f t="shared" si="13"/>
        <v>0</v>
      </c>
      <c r="J183">
        <f t="shared" si="14"/>
        <v>0</v>
      </c>
      <c r="K183">
        <f t="shared" si="15"/>
        <v>0</v>
      </c>
    </row>
    <row r="184" spans="1:11" x14ac:dyDescent="0.25">
      <c r="A184" s="6">
        <v>44744</v>
      </c>
      <c r="B184" s="7">
        <v>0.17898148148148149</v>
      </c>
      <c r="C184" s="7">
        <v>0.87665509259259256</v>
      </c>
      <c r="D184" s="8">
        <v>0</v>
      </c>
      <c r="E184" s="8">
        <v>13.76</v>
      </c>
      <c r="F184" s="8">
        <v>7.09</v>
      </c>
      <c r="G184" s="9">
        <v>4.32</v>
      </c>
      <c r="H184">
        <f t="shared" si="12"/>
        <v>1</v>
      </c>
      <c r="I184">
        <f t="shared" si="13"/>
        <v>1</v>
      </c>
      <c r="J184">
        <f t="shared" si="14"/>
        <v>1</v>
      </c>
      <c r="K184">
        <f t="shared" si="15"/>
        <v>1</v>
      </c>
    </row>
    <row r="185" spans="1:11" x14ac:dyDescent="0.25">
      <c r="A185" s="10">
        <v>44745</v>
      </c>
      <c r="B185" s="11">
        <v>0.17952546296296296</v>
      </c>
      <c r="C185" s="11">
        <v>0.87637731481481485</v>
      </c>
      <c r="D185" s="12">
        <v>0</v>
      </c>
      <c r="E185" s="12">
        <v>17.920000000000002</v>
      </c>
      <c r="F185" s="12">
        <v>10.28</v>
      </c>
      <c r="G185" s="13">
        <v>2.65</v>
      </c>
      <c r="H185">
        <f t="shared" si="12"/>
        <v>1</v>
      </c>
      <c r="I185">
        <f t="shared" si="13"/>
        <v>1</v>
      </c>
      <c r="J185">
        <f t="shared" si="14"/>
        <v>1</v>
      </c>
      <c r="K185">
        <f t="shared" si="15"/>
        <v>2</v>
      </c>
    </row>
    <row r="186" spans="1:11" x14ac:dyDescent="0.25">
      <c r="A186" s="6">
        <v>44746</v>
      </c>
      <c r="B186" s="7">
        <v>0.18010416666666668</v>
      </c>
      <c r="C186" s="7">
        <v>0.87605324074074076</v>
      </c>
      <c r="D186" s="8">
        <v>0</v>
      </c>
      <c r="E186" s="8">
        <v>19.89</v>
      </c>
      <c r="F186" s="8">
        <v>10.64</v>
      </c>
      <c r="G186" s="9">
        <v>1.48</v>
      </c>
      <c r="H186">
        <f t="shared" si="12"/>
        <v>1</v>
      </c>
      <c r="I186">
        <f t="shared" si="13"/>
        <v>1</v>
      </c>
      <c r="J186">
        <f t="shared" si="14"/>
        <v>1</v>
      </c>
      <c r="K186">
        <f t="shared" si="15"/>
        <v>3</v>
      </c>
    </row>
    <row r="187" spans="1:11" x14ac:dyDescent="0.25">
      <c r="A187" s="10">
        <v>44747</v>
      </c>
      <c r="B187" s="11">
        <v>0.18069444444444444</v>
      </c>
      <c r="C187" s="11">
        <v>0.87569444444444444</v>
      </c>
      <c r="D187" s="12">
        <v>0</v>
      </c>
      <c r="E187" s="12">
        <v>19.149999999999999</v>
      </c>
      <c r="F187" s="12">
        <v>11.79</v>
      </c>
      <c r="G187" s="13">
        <v>2.95</v>
      </c>
      <c r="H187">
        <f t="shared" si="12"/>
        <v>1</v>
      </c>
      <c r="I187">
        <f t="shared" si="13"/>
        <v>0</v>
      </c>
      <c r="J187">
        <f t="shared" si="14"/>
        <v>0</v>
      </c>
      <c r="K187">
        <f t="shared" si="15"/>
        <v>0</v>
      </c>
    </row>
    <row r="188" spans="1:11" x14ac:dyDescent="0.25">
      <c r="A188" s="6">
        <v>44748</v>
      </c>
      <c r="B188" s="7">
        <v>0.18133101851851852</v>
      </c>
      <c r="C188" s="7">
        <v>0.8753009259259259</v>
      </c>
      <c r="D188" s="8">
        <v>1</v>
      </c>
      <c r="E188" s="8">
        <v>14.68</v>
      </c>
      <c r="F188" s="8">
        <v>11.32</v>
      </c>
      <c r="G188" s="9">
        <v>4.26</v>
      </c>
      <c r="H188">
        <f t="shared" si="12"/>
        <v>0</v>
      </c>
      <c r="I188">
        <f t="shared" si="13"/>
        <v>0</v>
      </c>
      <c r="J188">
        <f t="shared" si="14"/>
        <v>0</v>
      </c>
      <c r="K188">
        <f t="shared" si="15"/>
        <v>0</v>
      </c>
    </row>
    <row r="189" spans="1:11" x14ac:dyDescent="0.25">
      <c r="A189" s="10">
        <v>44749</v>
      </c>
      <c r="B189" s="11">
        <v>0.18199074074074073</v>
      </c>
      <c r="C189" s="11">
        <v>0.87487268518518524</v>
      </c>
      <c r="D189" s="12">
        <v>0</v>
      </c>
      <c r="E189" s="12">
        <v>16.95</v>
      </c>
      <c r="F189" s="12">
        <v>9.57</v>
      </c>
      <c r="G189" s="13">
        <v>3.24</v>
      </c>
      <c r="H189">
        <f t="shared" si="12"/>
        <v>1</v>
      </c>
      <c r="I189">
        <f t="shared" si="13"/>
        <v>1</v>
      </c>
      <c r="J189">
        <f t="shared" si="14"/>
        <v>1</v>
      </c>
      <c r="K189">
        <f t="shared" si="15"/>
        <v>1</v>
      </c>
    </row>
    <row r="190" spans="1:11" x14ac:dyDescent="0.25">
      <c r="A190" s="6">
        <v>44750</v>
      </c>
      <c r="B190" s="7">
        <v>0.18267361111111111</v>
      </c>
      <c r="C190" s="7">
        <v>0.87440972222222224</v>
      </c>
      <c r="D190" s="8">
        <v>1</v>
      </c>
      <c r="E190" s="8">
        <v>11.9</v>
      </c>
      <c r="F190" s="8">
        <v>7.34</v>
      </c>
      <c r="G190" s="9">
        <v>4.8099999999999996</v>
      </c>
      <c r="H190">
        <f t="shared" si="12"/>
        <v>0</v>
      </c>
      <c r="I190">
        <f t="shared" si="13"/>
        <v>0</v>
      </c>
      <c r="J190">
        <f t="shared" si="14"/>
        <v>0</v>
      </c>
      <c r="K190">
        <f t="shared" si="15"/>
        <v>0</v>
      </c>
    </row>
    <row r="191" spans="1:11" x14ac:dyDescent="0.25">
      <c r="A191" s="10">
        <v>44751</v>
      </c>
      <c r="B191" s="11">
        <v>0.18337962962962964</v>
      </c>
      <c r="C191" s="11">
        <v>0.87390046296296298</v>
      </c>
      <c r="D191" s="12">
        <v>0</v>
      </c>
      <c r="E191" s="12">
        <v>19.440000000000001</v>
      </c>
      <c r="F191" s="12">
        <v>11.14</v>
      </c>
      <c r="G191" s="13">
        <v>2.91</v>
      </c>
      <c r="H191">
        <f t="shared" si="12"/>
        <v>1</v>
      </c>
      <c r="I191">
        <f t="shared" si="13"/>
        <v>1</v>
      </c>
      <c r="J191">
        <f t="shared" si="14"/>
        <v>1</v>
      </c>
      <c r="K191">
        <f t="shared" si="15"/>
        <v>1</v>
      </c>
    </row>
    <row r="192" spans="1:11" x14ac:dyDescent="0.25">
      <c r="A192" s="6">
        <v>44752</v>
      </c>
      <c r="B192" s="7">
        <v>0.18412037037037038</v>
      </c>
      <c r="C192" s="7">
        <v>0.87336805555555552</v>
      </c>
      <c r="D192" s="8">
        <v>0</v>
      </c>
      <c r="E192" s="8">
        <v>19.54</v>
      </c>
      <c r="F192" s="8">
        <v>12.94</v>
      </c>
      <c r="G192" s="9">
        <v>3.47</v>
      </c>
      <c r="H192">
        <f t="shared" si="12"/>
        <v>1</v>
      </c>
      <c r="I192">
        <f t="shared" si="13"/>
        <v>1</v>
      </c>
      <c r="J192">
        <f t="shared" si="14"/>
        <v>1</v>
      </c>
      <c r="K192">
        <f t="shared" si="15"/>
        <v>2</v>
      </c>
    </row>
    <row r="193" spans="1:11" x14ac:dyDescent="0.25">
      <c r="A193" s="10">
        <v>44753</v>
      </c>
      <c r="B193" s="11">
        <v>0.18487268518518518</v>
      </c>
      <c r="C193" s="11">
        <v>0.87280092592592595</v>
      </c>
      <c r="D193" s="12">
        <v>0</v>
      </c>
      <c r="E193" s="12">
        <v>18.52</v>
      </c>
      <c r="F193" s="12">
        <v>12.35</v>
      </c>
      <c r="G193" s="13">
        <v>1.85</v>
      </c>
      <c r="H193">
        <f t="shared" si="12"/>
        <v>1</v>
      </c>
      <c r="I193">
        <f t="shared" si="13"/>
        <v>0</v>
      </c>
      <c r="J193">
        <f t="shared" si="14"/>
        <v>0</v>
      </c>
      <c r="K193">
        <f t="shared" si="15"/>
        <v>0</v>
      </c>
    </row>
    <row r="194" spans="1:11" x14ac:dyDescent="0.25">
      <c r="A194" s="6">
        <v>44754</v>
      </c>
      <c r="B194" s="7">
        <v>0.18565972222222221</v>
      </c>
      <c r="C194" s="7">
        <v>0.8721875</v>
      </c>
      <c r="D194" s="8">
        <v>0</v>
      </c>
      <c r="E194" s="8">
        <v>19.77</v>
      </c>
      <c r="F194" s="8">
        <v>11.78</v>
      </c>
      <c r="G194" s="9">
        <v>1.95</v>
      </c>
      <c r="H194">
        <f t="shared" si="12"/>
        <v>1</v>
      </c>
      <c r="I194">
        <f t="shared" si="13"/>
        <v>1</v>
      </c>
      <c r="J194">
        <f t="shared" si="14"/>
        <v>1</v>
      </c>
      <c r="K194">
        <f t="shared" si="15"/>
        <v>1</v>
      </c>
    </row>
    <row r="195" spans="1:11" x14ac:dyDescent="0.25">
      <c r="A195" s="10">
        <v>44755</v>
      </c>
      <c r="B195" s="11">
        <v>0.1864699074074074</v>
      </c>
      <c r="C195" s="11">
        <v>0.87155092592592598</v>
      </c>
      <c r="D195" s="12">
        <v>0</v>
      </c>
      <c r="E195" s="12">
        <v>17.22</v>
      </c>
      <c r="F195" s="12">
        <v>9.69</v>
      </c>
      <c r="G195" s="13">
        <v>2.84</v>
      </c>
      <c r="H195">
        <f t="shared" si="12"/>
        <v>1</v>
      </c>
      <c r="I195">
        <f t="shared" si="13"/>
        <v>0</v>
      </c>
      <c r="J195">
        <f t="shared" si="14"/>
        <v>0</v>
      </c>
      <c r="K195">
        <f t="shared" si="15"/>
        <v>0</v>
      </c>
    </row>
    <row r="196" spans="1:11" x14ac:dyDescent="0.25">
      <c r="A196" s="6">
        <v>44756</v>
      </c>
      <c r="B196" s="7">
        <v>0.18729166666666666</v>
      </c>
      <c r="C196" s="7">
        <v>0.87087962962962961</v>
      </c>
      <c r="D196" s="8">
        <v>1</v>
      </c>
      <c r="E196" s="8">
        <v>14.02</v>
      </c>
      <c r="F196" s="8">
        <v>8.5399999999999991</v>
      </c>
      <c r="G196" s="9">
        <v>2.69</v>
      </c>
      <c r="H196">
        <f t="shared" ref="H196:H259" si="16">IF(D196&lt;=D195,1,0)</f>
        <v>0</v>
      </c>
      <c r="I196">
        <f t="shared" ref="I196:I259" si="17">IF(E196&gt;=E195,1,0)</f>
        <v>0</v>
      </c>
      <c r="J196">
        <f t="shared" ref="J196:J259" si="18">IF(AND(H196=1,I196=1),1,0)</f>
        <v>0</v>
      </c>
      <c r="K196">
        <f t="shared" si="15"/>
        <v>0</v>
      </c>
    </row>
    <row r="197" spans="1:11" x14ac:dyDescent="0.25">
      <c r="A197" s="10">
        <v>44757</v>
      </c>
      <c r="B197" s="11">
        <v>0.18813657407407408</v>
      </c>
      <c r="C197" s="11">
        <v>0.87017361111111113</v>
      </c>
      <c r="D197" s="12">
        <v>1</v>
      </c>
      <c r="E197" s="12">
        <v>15.96</v>
      </c>
      <c r="F197" s="12">
        <v>11.95</v>
      </c>
      <c r="G197" s="13">
        <v>3.05</v>
      </c>
      <c r="H197">
        <f t="shared" si="16"/>
        <v>1</v>
      </c>
      <c r="I197">
        <f t="shared" si="17"/>
        <v>1</v>
      </c>
      <c r="J197">
        <f t="shared" si="18"/>
        <v>1</v>
      </c>
      <c r="K197">
        <f t="shared" ref="K197:K260" si="19">IF(J197=0,0,J197+K196)</f>
        <v>1</v>
      </c>
    </row>
    <row r="198" spans="1:11" x14ac:dyDescent="0.25">
      <c r="A198" s="6">
        <v>44758</v>
      </c>
      <c r="B198" s="7">
        <v>0.1890162037037037</v>
      </c>
      <c r="C198" s="7">
        <v>0.86944444444444446</v>
      </c>
      <c r="D198" s="8">
        <v>1</v>
      </c>
      <c r="E198" s="8">
        <v>15.06</v>
      </c>
      <c r="F198" s="8">
        <v>7.68</v>
      </c>
      <c r="G198" s="9">
        <v>1.1599999999999999</v>
      </c>
      <c r="H198">
        <f t="shared" si="16"/>
        <v>1</v>
      </c>
      <c r="I198">
        <f t="shared" si="17"/>
        <v>0</v>
      </c>
      <c r="J198">
        <f t="shared" si="18"/>
        <v>0</v>
      </c>
      <c r="K198">
        <f t="shared" si="19"/>
        <v>0</v>
      </c>
    </row>
    <row r="199" spans="1:11" x14ac:dyDescent="0.25">
      <c r="A199" s="10">
        <v>44759</v>
      </c>
      <c r="B199" s="11">
        <v>0.18989583333333335</v>
      </c>
      <c r="C199" s="11">
        <v>0.86868055555555557</v>
      </c>
      <c r="D199" s="12">
        <v>0</v>
      </c>
      <c r="E199" s="12">
        <v>19.62</v>
      </c>
      <c r="F199" s="12">
        <v>10.19</v>
      </c>
      <c r="G199" s="13">
        <v>0.47</v>
      </c>
      <c r="H199">
        <f t="shared" si="16"/>
        <v>1</v>
      </c>
      <c r="I199">
        <f t="shared" si="17"/>
        <v>1</v>
      </c>
      <c r="J199">
        <f t="shared" si="18"/>
        <v>1</v>
      </c>
      <c r="K199">
        <f t="shared" si="19"/>
        <v>1</v>
      </c>
    </row>
    <row r="200" spans="1:11" x14ac:dyDescent="0.25">
      <c r="A200" s="6">
        <v>44760</v>
      </c>
      <c r="B200" s="7">
        <v>0.19081018518518519</v>
      </c>
      <c r="C200" s="7">
        <v>0.86788194444444444</v>
      </c>
      <c r="D200" s="8">
        <v>0</v>
      </c>
      <c r="E200" s="8">
        <v>18.97</v>
      </c>
      <c r="F200" s="8">
        <v>8.85</v>
      </c>
      <c r="G200" s="9">
        <v>1.66</v>
      </c>
      <c r="H200">
        <f t="shared" si="16"/>
        <v>1</v>
      </c>
      <c r="I200">
        <f t="shared" si="17"/>
        <v>0</v>
      </c>
      <c r="J200">
        <f t="shared" si="18"/>
        <v>0</v>
      </c>
      <c r="K200">
        <f t="shared" si="19"/>
        <v>0</v>
      </c>
    </row>
    <row r="201" spans="1:11" x14ac:dyDescent="0.25">
      <c r="A201" s="10">
        <v>44761</v>
      </c>
      <c r="B201" s="11">
        <v>0.19172453703703704</v>
      </c>
      <c r="C201" s="11">
        <v>0.86704861111111109</v>
      </c>
      <c r="D201" s="12">
        <v>0</v>
      </c>
      <c r="E201" s="12">
        <v>17.940000000000001</v>
      </c>
      <c r="F201" s="12">
        <v>9.83</v>
      </c>
      <c r="G201" s="13">
        <v>3.13</v>
      </c>
      <c r="H201">
        <f t="shared" si="16"/>
        <v>1</v>
      </c>
      <c r="I201">
        <f t="shared" si="17"/>
        <v>0</v>
      </c>
      <c r="J201">
        <f t="shared" si="18"/>
        <v>0</v>
      </c>
      <c r="K201">
        <f t="shared" si="19"/>
        <v>0</v>
      </c>
    </row>
    <row r="202" spans="1:11" x14ac:dyDescent="0.25">
      <c r="A202" s="6">
        <v>44762</v>
      </c>
      <c r="B202" s="7">
        <v>0.19267361111111111</v>
      </c>
      <c r="C202" s="7">
        <v>0.86619212962962966</v>
      </c>
      <c r="D202" s="8">
        <v>0</v>
      </c>
      <c r="E202" s="8">
        <v>17.350000000000001</v>
      </c>
      <c r="F202" s="8">
        <v>11.02</v>
      </c>
      <c r="G202" s="9">
        <v>2.82</v>
      </c>
      <c r="H202">
        <f t="shared" si="16"/>
        <v>1</v>
      </c>
      <c r="I202">
        <f t="shared" si="17"/>
        <v>0</v>
      </c>
      <c r="J202">
        <f t="shared" si="18"/>
        <v>0</v>
      </c>
      <c r="K202">
        <f t="shared" si="19"/>
        <v>0</v>
      </c>
    </row>
    <row r="203" spans="1:11" x14ac:dyDescent="0.25">
      <c r="A203" s="10">
        <v>44763</v>
      </c>
      <c r="B203" s="11">
        <v>0.19362268518518519</v>
      </c>
      <c r="C203" s="11">
        <v>0.86531250000000004</v>
      </c>
      <c r="D203" s="12">
        <v>0</v>
      </c>
      <c r="E203" s="12">
        <v>18.3</v>
      </c>
      <c r="F203" s="12">
        <v>10.96</v>
      </c>
      <c r="G203" s="13">
        <v>2.14</v>
      </c>
      <c r="H203">
        <f t="shared" si="16"/>
        <v>1</v>
      </c>
      <c r="I203">
        <f t="shared" si="17"/>
        <v>1</v>
      </c>
      <c r="J203">
        <f t="shared" si="18"/>
        <v>1</v>
      </c>
      <c r="K203">
        <f t="shared" si="19"/>
        <v>1</v>
      </c>
    </row>
    <row r="204" spans="1:11" x14ac:dyDescent="0.25">
      <c r="A204" s="6">
        <v>44764</v>
      </c>
      <c r="B204" s="7">
        <v>0.1945949074074074</v>
      </c>
      <c r="C204" s="7">
        <v>0.86439814814814819</v>
      </c>
      <c r="D204" s="8">
        <v>0</v>
      </c>
      <c r="E204" s="8">
        <v>17.04</v>
      </c>
      <c r="F204" s="8">
        <v>9.85</v>
      </c>
      <c r="G204" s="9">
        <v>2.2599999999999998</v>
      </c>
      <c r="H204">
        <f t="shared" si="16"/>
        <v>1</v>
      </c>
      <c r="I204">
        <f t="shared" si="17"/>
        <v>0</v>
      </c>
      <c r="J204">
        <f t="shared" si="18"/>
        <v>0</v>
      </c>
      <c r="K204">
        <f t="shared" si="19"/>
        <v>0</v>
      </c>
    </row>
    <row r="205" spans="1:11" x14ac:dyDescent="0.25">
      <c r="A205" s="10">
        <v>44765</v>
      </c>
      <c r="B205" s="11">
        <v>0.1955787037037037</v>
      </c>
      <c r="C205" s="11">
        <v>0.86346064814814816</v>
      </c>
      <c r="D205" s="12">
        <v>0</v>
      </c>
      <c r="E205" s="12">
        <v>18.850000000000001</v>
      </c>
      <c r="F205" s="12">
        <v>11.75</v>
      </c>
      <c r="G205" s="13">
        <v>2.94</v>
      </c>
      <c r="H205">
        <f t="shared" si="16"/>
        <v>1</v>
      </c>
      <c r="I205">
        <f t="shared" si="17"/>
        <v>1</v>
      </c>
      <c r="J205">
        <f t="shared" si="18"/>
        <v>1</v>
      </c>
      <c r="K205">
        <f t="shared" si="19"/>
        <v>1</v>
      </c>
    </row>
    <row r="206" spans="1:11" x14ac:dyDescent="0.25">
      <c r="A206" s="6">
        <v>44766</v>
      </c>
      <c r="B206" s="7">
        <v>0.19658564814814813</v>
      </c>
      <c r="C206" s="7">
        <v>0.86248842592592589</v>
      </c>
      <c r="D206" s="8">
        <v>0</v>
      </c>
      <c r="E206" s="8">
        <v>16.55</v>
      </c>
      <c r="F206" s="8">
        <v>8.33</v>
      </c>
      <c r="G206" s="9">
        <v>1.56</v>
      </c>
      <c r="H206">
        <f t="shared" si="16"/>
        <v>1</v>
      </c>
      <c r="I206">
        <f t="shared" si="17"/>
        <v>0</v>
      </c>
      <c r="J206">
        <f t="shared" si="18"/>
        <v>0</v>
      </c>
      <c r="K206">
        <f t="shared" si="19"/>
        <v>0</v>
      </c>
    </row>
    <row r="207" spans="1:11" x14ac:dyDescent="0.25">
      <c r="A207" s="10">
        <v>44767</v>
      </c>
      <c r="B207" s="11">
        <v>0.1975925925925926</v>
      </c>
      <c r="C207" s="11">
        <v>0.86149305555555555</v>
      </c>
      <c r="D207" s="12">
        <v>1</v>
      </c>
      <c r="E207" s="12">
        <v>13.83</v>
      </c>
      <c r="F207" s="12">
        <v>8.1999999999999993</v>
      </c>
      <c r="G207" s="13">
        <v>3.02</v>
      </c>
      <c r="H207">
        <f t="shared" si="16"/>
        <v>0</v>
      </c>
      <c r="I207">
        <f t="shared" si="17"/>
        <v>0</v>
      </c>
      <c r="J207">
        <f t="shared" si="18"/>
        <v>0</v>
      </c>
      <c r="K207">
        <f t="shared" si="19"/>
        <v>0</v>
      </c>
    </row>
    <row r="208" spans="1:11" x14ac:dyDescent="0.25">
      <c r="A208" s="6">
        <v>44768</v>
      </c>
      <c r="B208" s="7">
        <v>0.19862268518518519</v>
      </c>
      <c r="C208" s="7">
        <v>0.86047453703703702</v>
      </c>
      <c r="D208" s="8">
        <v>0</v>
      </c>
      <c r="E208" s="8">
        <v>16.16</v>
      </c>
      <c r="F208" s="8">
        <v>8.9499999999999993</v>
      </c>
      <c r="G208" s="9">
        <v>2.09</v>
      </c>
      <c r="H208">
        <f t="shared" si="16"/>
        <v>1</v>
      </c>
      <c r="I208">
        <f t="shared" si="17"/>
        <v>1</v>
      </c>
      <c r="J208">
        <f t="shared" si="18"/>
        <v>1</v>
      </c>
      <c r="K208">
        <f t="shared" si="19"/>
        <v>1</v>
      </c>
    </row>
    <row r="209" spans="1:11" x14ac:dyDescent="0.25">
      <c r="A209" s="10">
        <v>44769</v>
      </c>
      <c r="B209" s="11">
        <v>0.19965277777777779</v>
      </c>
      <c r="C209" s="11">
        <v>0.85942129629629627</v>
      </c>
      <c r="D209" s="12">
        <v>0</v>
      </c>
      <c r="E209" s="12">
        <v>17.82</v>
      </c>
      <c r="F209" s="12">
        <v>10.94</v>
      </c>
      <c r="G209" s="13">
        <v>3.66</v>
      </c>
      <c r="H209">
        <f t="shared" si="16"/>
        <v>1</v>
      </c>
      <c r="I209">
        <f t="shared" si="17"/>
        <v>1</v>
      </c>
      <c r="J209">
        <f t="shared" si="18"/>
        <v>1</v>
      </c>
      <c r="K209">
        <f t="shared" si="19"/>
        <v>2</v>
      </c>
    </row>
    <row r="210" spans="1:11" x14ac:dyDescent="0.25">
      <c r="A210" s="6">
        <v>44770</v>
      </c>
      <c r="B210" s="7">
        <v>0.20069444444444445</v>
      </c>
      <c r="C210" s="7">
        <v>0.85835648148148147</v>
      </c>
      <c r="D210" s="8">
        <v>0</v>
      </c>
      <c r="E210" s="8">
        <v>19.23</v>
      </c>
      <c r="F210" s="8">
        <v>10.19</v>
      </c>
      <c r="G210" s="9">
        <v>2.0299999999999998</v>
      </c>
      <c r="H210">
        <f t="shared" si="16"/>
        <v>1</v>
      </c>
      <c r="I210">
        <f t="shared" si="17"/>
        <v>1</v>
      </c>
      <c r="J210">
        <f t="shared" si="18"/>
        <v>1</v>
      </c>
      <c r="K210">
        <f t="shared" si="19"/>
        <v>3</v>
      </c>
    </row>
    <row r="211" spans="1:11" x14ac:dyDescent="0.25">
      <c r="A211" s="10">
        <v>44771</v>
      </c>
      <c r="B211" s="11">
        <v>0.20175925925925925</v>
      </c>
      <c r="C211" s="11">
        <v>0.85725694444444445</v>
      </c>
      <c r="D211" s="12">
        <v>0</v>
      </c>
      <c r="E211" s="12">
        <v>18.59</v>
      </c>
      <c r="F211" s="12">
        <v>10.29</v>
      </c>
      <c r="G211" s="13">
        <v>1.74</v>
      </c>
      <c r="H211">
        <f t="shared" si="16"/>
        <v>1</v>
      </c>
      <c r="I211">
        <f t="shared" si="17"/>
        <v>0</v>
      </c>
      <c r="J211">
        <f t="shared" si="18"/>
        <v>0</v>
      </c>
      <c r="K211">
        <f t="shared" si="19"/>
        <v>0</v>
      </c>
    </row>
    <row r="212" spans="1:11" x14ac:dyDescent="0.25">
      <c r="A212" s="6">
        <v>44772</v>
      </c>
      <c r="B212" s="7">
        <v>0.20282407407407407</v>
      </c>
      <c r="C212" s="7">
        <v>0.85614583333333338</v>
      </c>
      <c r="D212" s="8">
        <v>1</v>
      </c>
      <c r="E212" s="8">
        <v>14.2</v>
      </c>
      <c r="F212" s="8">
        <v>10.59</v>
      </c>
      <c r="G212" s="9">
        <v>4.04</v>
      </c>
      <c r="H212">
        <f t="shared" si="16"/>
        <v>0</v>
      </c>
      <c r="I212">
        <f t="shared" si="17"/>
        <v>0</v>
      </c>
      <c r="J212">
        <f t="shared" si="18"/>
        <v>0</v>
      </c>
      <c r="K212">
        <f t="shared" si="19"/>
        <v>0</v>
      </c>
    </row>
    <row r="213" spans="1:11" x14ac:dyDescent="0.25">
      <c r="A213" s="10">
        <v>44773</v>
      </c>
      <c r="B213" s="11">
        <v>0.2038888888888889</v>
      </c>
      <c r="C213" s="11">
        <v>0.85499999999999998</v>
      </c>
      <c r="D213" s="12">
        <v>1</v>
      </c>
      <c r="E213" s="12">
        <v>13.79</v>
      </c>
      <c r="F213" s="12">
        <v>8.49</v>
      </c>
      <c r="G213" s="13">
        <v>2.38</v>
      </c>
      <c r="H213">
        <f t="shared" si="16"/>
        <v>1</v>
      </c>
      <c r="I213">
        <f t="shared" si="17"/>
        <v>0</v>
      </c>
      <c r="J213">
        <f t="shared" si="18"/>
        <v>0</v>
      </c>
      <c r="K213">
        <f t="shared" si="19"/>
        <v>0</v>
      </c>
    </row>
    <row r="214" spans="1:11" x14ac:dyDescent="0.25">
      <c r="A214" s="6">
        <v>44774</v>
      </c>
      <c r="B214" s="7">
        <v>0.20497685185185185</v>
      </c>
      <c r="C214" s="7">
        <v>0.85384259259259254</v>
      </c>
      <c r="D214" s="8">
        <v>1</v>
      </c>
      <c r="E214" s="8">
        <v>15.96</v>
      </c>
      <c r="F214" s="8">
        <v>9.48</v>
      </c>
      <c r="G214" s="9">
        <v>1.78</v>
      </c>
      <c r="H214">
        <f t="shared" si="16"/>
        <v>1</v>
      </c>
      <c r="I214">
        <f t="shared" si="17"/>
        <v>1</v>
      </c>
      <c r="J214">
        <f t="shared" si="18"/>
        <v>1</v>
      </c>
      <c r="K214">
        <f t="shared" si="19"/>
        <v>1</v>
      </c>
    </row>
    <row r="215" spans="1:11" x14ac:dyDescent="0.25">
      <c r="A215" s="10">
        <v>44775</v>
      </c>
      <c r="B215" s="11">
        <v>0.20606481481481481</v>
      </c>
      <c r="C215" s="11">
        <v>0.85266203703703702</v>
      </c>
      <c r="D215" s="12">
        <v>0</v>
      </c>
      <c r="E215" s="12">
        <v>18.86</v>
      </c>
      <c r="F215" s="12">
        <v>12.56</v>
      </c>
      <c r="G215" s="13">
        <v>4.93</v>
      </c>
      <c r="H215">
        <f t="shared" si="16"/>
        <v>1</v>
      </c>
      <c r="I215">
        <f t="shared" si="17"/>
        <v>1</v>
      </c>
      <c r="J215">
        <f t="shared" si="18"/>
        <v>1</v>
      </c>
      <c r="K215">
        <f t="shared" si="19"/>
        <v>2</v>
      </c>
    </row>
    <row r="216" spans="1:11" x14ac:dyDescent="0.25">
      <c r="A216" s="6">
        <v>44776</v>
      </c>
      <c r="B216" s="7">
        <v>0.20716435185185186</v>
      </c>
      <c r="C216" s="7">
        <v>0.85145833333333332</v>
      </c>
      <c r="D216" s="8">
        <v>0</v>
      </c>
      <c r="E216" s="8">
        <v>18.12</v>
      </c>
      <c r="F216" s="8">
        <v>9.15</v>
      </c>
      <c r="G216" s="9">
        <v>2.87</v>
      </c>
      <c r="H216">
        <f t="shared" si="16"/>
        <v>1</v>
      </c>
      <c r="I216">
        <f t="shared" si="17"/>
        <v>0</v>
      </c>
      <c r="J216">
        <f t="shared" si="18"/>
        <v>0</v>
      </c>
      <c r="K216">
        <f t="shared" si="19"/>
        <v>0</v>
      </c>
    </row>
    <row r="217" spans="1:11" x14ac:dyDescent="0.25">
      <c r="A217" s="10">
        <v>44777</v>
      </c>
      <c r="B217" s="11">
        <v>0.20826388888888889</v>
      </c>
      <c r="C217" s="11">
        <v>0.85023148148148153</v>
      </c>
      <c r="D217" s="12">
        <v>0</v>
      </c>
      <c r="E217" s="12">
        <v>19.88</v>
      </c>
      <c r="F217" s="12">
        <v>10.14</v>
      </c>
      <c r="G217" s="13">
        <v>1.94</v>
      </c>
      <c r="H217">
        <f t="shared" si="16"/>
        <v>1</v>
      </c>
      <c r="I217">
        <f t="shared" si="17"/>
        <v>1</v>
      </c>
      <c r="J217">
        <f t="shared" si="18"/>
        <v>1</v>
      </c>
      <c r="K217">
        <f t="shared" si="19"/>
        <v>1</v>
      </c>
    </row>
    <row r="218" spans="1:11" x14ac:dyDescent="0.25">
      <c r="A218" s="6">
        <v>44778</v>
      </c>
      <c r="B218" s="7">
        <v>0.20937500000000001</v>
      </c>
      <c r="C218" s="7">
        <v>0.84898148148148145</v>
      </c>
      <c r="D218" s="8">
        <v>1</v>
      </c>
      <c r="E218" s="8">
        <v>12.71</v>
      </c>
      <c r="F218" s="8">
        <v>8.08</v>
      </c>
      <c r="G218" s="9">
        <v>2.89</v>
      </c>
      <c r="H218">
        <f t="shared" si="16"/>
        <v>0</v>
      </c>
      <c r="I218">
        <f t="shared" si="17"/>
        <v>0</v>
      </c>
      <c r="J218">
        <f t="shared" si="18"/>
        <v>0</v>
      </c>
      <c r="K218">
        <f t="shared" si="19"/>
        <v>0</v>
      </c>
    </row>
    <row r="219" spans="1:11" x14ac:dyDescent="0.25">
      <c r="A219" s="10">
        <v>44779</v>
      </c>
      <c r="B219" s="11">
        <v>0.21048611111111112</v>
      </c>
      <c r="C219" s="11">
        <v>0.84771990740740744</v>
      </c>
      <c r="D219" s="12">
        <v>1</v>
      </c>
      <c r="E219" s="12">
        <v>11.46</v>
      </c>
      <c r="F219" s="12">
        <v>7.01</v>
      </c>
      <c r="G219" s="13">
        <v>2.95</v>
      </c>
      <c r="H219">
        <f t="shared" si="16"/>
        <v>1</v>
      </c>
      <c r="I219">
        <f t="shared" si="17"/>
        <v>0</v>
      </c>
      <c r="J219">
        <f t="shared" si="18"/>
        <v>0</v>
      </c>
      <c r="K219">
        <f t="shared" si="19"/>
        <v>0</v>
      </c>
    </row>
    <row r="220" spans="1:11" x14ac:dyDescent="0.25">
      <c r="A220" s="6">
        <v>44780</v>
      </c>
      <c r="B220" s="7">
        <v>0.21159722222222221</v>
      </c>
      <c r="C220" s="7">
        <v>0.84644675925925927</v>
      </c>
      <c r="D220" s="8">
        <v>0</v>
      </c>
      <c r="E220" s="8">
        <v>18.38</v>
      </c>
      <c r="F220" s="8">
        <v>11.16</v>
      </c>
      <c r="G220" s="9">
        <v>3.69</v>
      </c>
      <c r="H220">
        <f t="shared" si="16"/>
        <v>1</v>
      </c>
      <c r="I220">
        <f t="shared" si="17"/>
        <v>1</v>
      </c>
      <c r="J220">
        <f t="shared" si="18"/>
        <v>1</v>
      </c>
      <c r="K220">
        <f t="shared" si="19"/>
        <v>1</v>
      </c>
    </row>
    <row r="221" spans="1:11" x14ac:dyDescent="0.25">
      <c r="A221" s="10">
        <v>44781</v>
      </c>
      <c r="B221" s="11">
        <v>0.2127199074074074</v>
      </c>
      <c r="C221" s="11">
        <v>0.84513888888888888</v>
      </c>
      <c r="D221" s="12">
        <v>0</v>
      </c>
      <c r="E221" s="12">
        <v>15.21</v>
      </c>
      <c r="F221" s="12">
        <v>6.71</v>
      </c>
      <c r="G221" s="13">
        <v>3.21</v>
      </c>
      <c r="H221">
        <f t="shared" si="16"/>
        <v>1</v>
      </c>
      <c r="I221">
        <f t="shared" si="17"/>
        <v>0</v>
      </c>
      <c r="J221">
        <f t="shared" si="18"/>
        <v>0</v>
      </c>
      <c r="K221">
        <f t="shared" si="19"/>
        <v>0</v>
      </c>
    </row>
    <row r="222" spans="1:11" x14ac:dyDescent="0.25">
      <c r="A222" s="6">
        <v>44782</v>
      </c>
      <c r="B222" s="7">
        <v>0.21384259259259258</v>
      </c>
      <c r="C222" s="7">
        <v>0.84381944444444446</v>
      </c>
      <c r="D222" s="8">
        <v>0</v>
      </c>
      <c r="E222" s="8">
        <v>19.329999999999998</v>
      </c>
      <c r="F222" s="8">
        <v>10.19</v>
      </c>
      <c r="G222" s="9">
        <v>1.54</v>
      </c>
      <c r="H222">
        <f t="shared" si="16"/>
        <v>1</v>
      </c>
      <c r="I222">
        <f t="shared" si="17"/>
        <v>1</v>
      </c>
      <c r="J222">
        <f t="shared" si="18"/>
        <v>1</v>
      </c>
      <c r="K222">
        <f t="shared" si="19"/>
        <v>1</v>
      </c>
    </row>
    <row r="223" spans="1:11" x14ac:dyDescent="0.25">
      <c r="A223" s="10">
        <v>44783</v>
      </c>
      <c r="B223" s="11">
        <v>0.21497685185185186</v>
      </c>
      <c r="C223" s="11">
        <v>0.84248842592592588</v>
      </c>
      <c r="D223" s="12">
        <v>0</v>
      </c>
      <c r="E223" s="12">
        <v>19.829999999999998</v>
      </c>
      <c r="F223" s="12">
        <v>12.94</v>
      </c>
      <c r="G223" s="13">
        <v>3.94</v>
      </c>
      <c r="H223">
        <f t="shared" si="16"/>
        <v>1</v>
      </c>
      <c r="I223">
        <f t="shared" si="17"/>
        <v>1</v>
      </c>
      <c r="J223">
        <f t="shared" si="18"/>
        <v>1</v>
      </c>
      <c r="K223">
        <f t="shared" si="19"/>
        <v>2</v>
      </c>
    </row>
    <row r="224" spans="1:11" x14ac:dyDescent="0.25">
      <c r="A224" s="6">
        <v>44784</v>
      </c>
      <c r="B224" s="7">
        <v>0.21611111111111111</v>
      </c>
      <c r="C224" s="7">
        <v>0.84114583333333337</v>
      </c>
      <c r="D224" s="8">
        <v>0</v>
      </c>
      <c r="E224" s="8">
        <v>15.68</v>
      </c>
      <c r="F224" s="8">
        <v>6.85</v>
      </c>
      <c r="G224" s="9">
        <v>2.4900000000000002</v>
      </c>
      <c r="H224">
        <f t="shared" si="16"/>
        <v>1</v>
      </c>
      <c r="I224">
        <f t="shared" si="17"/>
        <v>0</v>
      </c>
      <c r="J224">
        <f t="shared" si="18"/>
        <v>0</v>
      </c>
      <c r="K224">
        <f t="shared" si="19"/>
        <v>0</v>
      </c>
    </row>
    <row r="225" spans="1:11" x14ac:dyDescent="0.25">
      <c r="A225" s="10">
        <v>44785</v>
      </c>
      <c r="B225" s="11">
        <v>0.21724537037037037</v>
      </c>
      <c r="C225" s="11">
        <v>0.83978009259259256</v>
      </c>
      <c r="D225" s="12">
        <v>1</v>
      </c>
      <c r="E225" s="12">
        <v>10.43</v>
      </c>
      <c r="F225" s="12">
        <v>5.19</v>
      </c>
      <c r="G225" s="13">
        <v>2.76</v>
      </c>
      <c r="H225">
        <f t="shared" si="16"/>
        <v>0</v>
      </c>
      <c r="I225">
        <f t="shared" si="17"/>
        <v>0</v>
      </c>
      <c r="J225">
        <f t="shared" si="18"/>
        <v>0</v>
      </c>
      <c r="K225">
        <f t="shared" si="19"/>
        <v>0</v>
      </c>
    </row>
    <row r="226" spans="1:11" x14ac:dyDescent="0.25">
      <c r="A226" s="6">
        <v>44786</v>
      </c>
      <c r="B226" s="7">
        <v>0.21837962962962962</v>
      </c>
      <c r="C226" s="7">
        <v>0.83839120370370368</v>
      </c>
      <c r="D226" s="8">
        <v>0</v>
      </c>
      <c r="E226" s="8">
        <v>17.89</v>
      </c>
      <c r="F226" s="8">
        <v>7.23</v>
      </c>
      <c r="G226" s="9">
        <v>0.49</v>
      </c>
      <c r="H226">
        <f t="shared" si="16"/>
        <v>1</v>
      </c>
      <c r="I226">
        <f t="shared" si="17"/>
        <v>1</v>
      </c>
      <c r="J226">
        <f t="shared" si="18"/>
        <v>1</v>
      </c>
      <c r="K226">
        <f t="shared" si="19"/>
        <v>1</v>
      </c>
    </row>
    <row r="227" spans="1:11" x14ac:dyDescent="0.25">
      <c r="A227" s="10">
        <v>44787</v>
      </c>
      <c r="B227" s="11">
        <v>0.21952546296296296</v>
      </c>
      <c r="C227" s="11">
        <v>0.8370023148148148</v>
      </c>
      <c r="D227" s="12">
        <v>0</v>
      </c>
      <c r="E227" s="12">
        <v>17.03</v>
      </c>
      <c r="F227" s="12">
        <v>9.32</v>
      </c>
      <c r="G227" s="13">
        <v>3.67</v>
      </c>
      <c r="H227">
        <f t="shared" si="16"/>
        <v>1</v>
      </c>
      <c r="I227">
        <f t="shared" si="17"/>
        <v>0</v>
      </c>
      <c r="J227">
        <f t="shared" si="18"/>
        <v>0</v>
      </c>
      <c r="K227">
        <f t="shared" si="19"/>
        <v>0</v>
      </c>
    </row>
    <row r="228" spans="1:11" x14ac:dyDescent="0.25">
      <c r="A228" s="6">
        <v>44788</v>
      </c>
      <c r="B228" s="7">
        <v>0.22065972222222222</v>
      </c>
      <c r="C228" s="7">
        <v>0.83559027777777772</v>
      </c>
      <c r="D228" s="8">
        <v>0</v>
      </c>
      <c r="E228" s="8">
        <v>19.920000000000002</v>
      </c>
      <c r="F228" s="8">
        <v>12.25</v>
      </c>
      <c r="G228" s="9">
        <v>1.77</v>
      </c>
      <c r="H228">
        <f t="shared" si="16"/>
        <v>1</v>
      </c>
      <c r="I228">
        <f t="shared" si="17"/>
        <v>1</v>
      </c>
      <c r="J228">
        <f t="shared" si="18"/>
        <v>1</v>
      </c>
      <c r="K228">
        <f t="shared" si="19"/>
        <v>1</v>
      </c>
    </row>
    <row r="229" spans="1:11" x14ac:dyDescent="0.25">
      <c r="A229" s="10">
        <v>44789</v>
      </c>
      <c r="B229" s="11">
        <v>0.22180555555555556</v>
      </c>
      <c r="C229" s="11">
        <v>0.83416666666666661</v>
      </c>
      <c r="D229" s="12">
        <v>0</v>
      </c>
      <c r="E229" s="12">
        <v>16.059999999999999</v>
      </c>
      <c r="F229" s="12">
        <v>7.46</v>
      </c>
      <c r="G229" s="13">
        <v>2.1800000000000002</v>
      </c>
      <c r="H229">
        <f t="shared" si="16"/>
        <v>1</v>
      </c>
      <c r="I229">
        <f t="shared" si="17"/>
        <v>0</v>
      </c>
      <c r="J229">
        <f t="shared" si="18"/>
        <v>0</v>
      </c>
      <c r="K229">
        <f t="shared" si="19"/>
        <v>0</v>
      </c>
    </row>
    <row r="230" spans="1:11" x14ac:dyDescent="0.25">
      <c r="A230" s="6">
        <v>44790</v>
      </c>
      <c r="B230" s="7">
        <v>0.22295138888888888</v>
      </c>
      <c r="C230" s="7">
        <v>0.83273148148148146</v>
      </c>
      <c r="D230" s="8">
        <v>0</v>
      </c>
      <c r="E230" s="8">
        <v>18.84</v>
      </c>
      <c r="F230" s="8">
        <v>10.64</v>
      </c>
      <c r="G230" s="9">
        <v>3.51</v>
      </c>
      <c r="H230">
        <f t="shared" si="16"/>
        <v>1</v>
      </c>
      <c r="I230">
        <f t="shared" si="17"/>
        <v>1</v>
      </c>
      <c r="J230">
        <f t="shared" si="18"/>
        <v>1</v>
      </c>
      <c r="K230">
        <f t="shared" si="19"/>
        <v>1</v>
      </c>
    </row>
    <row r="231" spans="1:11" x14ac:dyDescent="0.25">
      <c r="A231" s="10">
        <v>44791</v>
      </c>
      <c r="B231" s="11">
        <v>0.22409722222222223</v>
      </c>
      <c r="C231" s="11">
        <v>0.83127314814814812</v>
      </c>
      <c r="D231" s="12">
        <v>0</v>
      </c>
      <c r="E231" s="12">
        <v>18.97</v>
      </c>
      <c r="F231" s="12">
        <v>10.97</v>
      </c>
      <c r="G231" s="13">
        <v>3.09</v>
      </c>
      <c r="H231">
        <f t="shared" si="16"/>
        <v>1</v>
      </c>
      <c r="I231">
        <f t="shared" si="17"/>
        <v>1</v>
      </c>
      <c r="J231">
        <f t="shared" si="18"/>
        <v>1</v>
      </c>
      <c r="K231">
        <f t="shared" si="19"/>
        <v>2</v>
      </c>
    </row>
    <row r="232" spans="1:11" x14ac:dyDescent="0.25">
      <c r="A232" s="6">
        <v>44792</v>
      </c>
      <c r="B232" s="7">
        <v>0.22524305555555554</v>
      </c>
      <c r="C232" s="7">
        <v>0.82981481481481478</v>
      </c>
      <c r="D232" s="8">
        <v>1</v>
      </c>
      <c r="E232" s="8">
        <v>11.99</v>
      </c>
      <c r="F232" s="8">
        <v>7.68</v>
      </c>
      <c r="G232" s="9">
        <v>3.68</v>
      </c>
      <c r="H232">
        <f t="shared" si="16"/>
        <v>0</v>
      </c>
      <c r="I232">
        <f t="shared" si="17"/>
        <v>0</v>
      </c>
      <c r="J232">
        <f t="shared" si="18"/>
        <v>0</v>
      </c>
      <c r="K232">
        <f t="shared" si="19"/>
        <v>0</v>
      </c>
    </row>
    <row r="233" spans="1:11" x14ac:dyDescent="0.25">
      <c r="A233" s="10">
        <v>44793</v>
      </c>
      <c r="B233" s="11">
        <v>0.22638888888888889</v>
      </c>
      <c r="C233" s="11">
        <v>0.8283449074074074</v>
      </c>
      <c r="D233" s="12">
        <v>0</v>
      </c>
      <c r="E233" s="12">
        <v>19.649999999999999</v>
      </c>
      <c r="F233" s="12">
        <v>11.94</v>
      </c>
      <c r="G233" s="13">
        <v>3.66</v>
      </c>
      <c r="H233">
        <f t="shared" si="16"/>
        <v>1</v>
      </c>
      <c r="I233">
        <f t="shared" si="17"/>
        <v>1</v>
      </c>
      <c r="J233">
        <f t="shared" si="18"/>
        <v>1</v>
      </c>
      <c r="K233">
        <f t="shared" si="19"/>
        <v>1</v>
      </c>
    </row>
    <row r="234" spans="1:11" x14ac:dyDescent="0.25">
      <c r="A234" s="6">
        <v>44794</v>
      </c>
      <c r="B234" s="7">
        <v>0.22753472222222224</v>
      </c>
      <c r="C234" s="7">
        <v>0.82685185185185184</v>
      </c>
      <c r="D234" s="8">
        <v>1</v>
      </c>
      <c r="E234" s="8">
        <v>13.19</v>
      </c>
      <c r="F234" s="8">
        <v>8.34</v>
      </c>
      <c r="G234" s="9">
        <v>2.4</v>
      </c>
      <c r="H234">
        <f t="shared" si="16"/>
        <v>0</v>
      </c>
      <c r="I234">
        <f t="shared" si="17"/>
        <v>0</v>
      </c>
      <c r="J234">
        <f t="shared" si="18"/>
        <v>0</v>
      </c>
      <c r="K234">
        <f t="shared" si="19"/>
        <v>0</v>
      </c>
    </row>
    <row r="235" spans="1:11" x14ac:dyDescent="0.25">
      <c r="A235" s="10">
        <v>44795</v>
      </c>
      <c r="B235" s="11">
        <v>0.22868055555555555</v>
      </c>
      <c r="C235" s="11">
        <v>0.82535879629629627</v>
      </c>
      <c r="D235" s="12">
        <v>1</v>
      </c>
      <c r="E235" s="12">
        <v>14.17</v>
      </c>
      <c r="F235" s="12">
        <v>9.9700000000000006</v>
      </c>
      <c r="G235" s="13">
        <v>3.16</v>
      </c>
      <c r="H235">
        <f t="shared" si="16"/>
        <v>1</v>
      </c>
      <c r="I235">
        <f t="shared" si="17"/>
        <v>1</v>
      </c>
      <c r="J235">
        <f t="shared" si="18"/>
        <v>1</v>
      </c>
      <c r="K235">
        <f t="shared" si="19"/>
        <v>1</v>
      </c>
    </row>
    <row r="236" spans="1:11" x14ac:dyDescent="0.25">
      <c r="A236" s="6">
        <v>44796</v>
      </c>
      <c r="B236" s="7">
        <v>0.2298263888888889</v>
      </c>
      <c r="C236" s="7">
        <v>0.82385416666666667</v>
      </c>
      <c r="D236" s="8">
        <v>1</v>
      </c>
      <c r="E236" s="8">
        <v>12.08</v>
      </c>
      <c r="F236" s="8">
        <v>6.96</v>
      </c>
      <c r="G236" s="9">
        <v>2.23</v>
      </c>
      <c r="H236">
        <f t="shared" si="16"/>
        <v>1</v>
      </c>
      <c r="I236">
        <f t="shared" si="17"/>
        <v>0</v>
      </c>
      <c r="J236">
        <f t="shared" si="18"/>
        <v>0</v>
      </c>
      <c r="K236">
        <f t="shared" si="19"/>
        <v>0</v>
      </c>
    </row>
    <row r="237" spans="1:11" x14ac:dyDescent="0.25">
      <c r="A237" s="10">
        <v>44797</v>
      </c>
      <c r="B237" s="11">
        <v>0.23097222222222222</v>
      </c>
      <c r="C237" s="11">
        <v>0.82233796296296291</v>
      </c>
      <c r="D237" s="12">
        <v>0</v>
      </c>
      <c r="E237" s="12">
        <v>18.739999999999998</v>
      </c>
      <c r="F237" s="12">
        <v>10.34</v>
      </c>
      <c r="G237" s="13">
        <v>2.92</v>
      </c>
      <c r="H237">
        <f t="shared" si="16"/>
        <v>1</v>
      </c>
      <c r="I237">
        <f t="shared" si="17"/>
        <v>1</v>
      </c>
      <c r="J237">
        <f t="shared" si="18"/>
        <v>1</v>
      </c>
      <c r="K237">
        <f t="shared" si="19"/>
        <v>1</v>
      </c>
    </row>
    <row r="238" spans="1:11" x14ac:dyDescent="0.25">
      <c r="A238" s="6">
        <v>44798</v>
      </c>
      <c r="B238" s="7">
        <v>0.23211805555555556</v>
      </c>
      <c r="C238" s="7">
        <v>0.82081018518518523</v>
      </c>
      <c r="D238" s="8">
        <v>0</v>
      </c>
      <c r="E238" s="8">
        <v>17.95</v>
      </c>
      <c r="F238" s="8">
        <v>8.23</v>
      </c>
      <c r="G238" s="9">
        <v>0.78</v>
      </c>
      <c r="H238">
        <f t="shared" si="16"/>
        <v>1</v>
      </c>
      <c r="I238">
        <f t="shared" si="17"/>
        <v>0</v>
      </c>
      <c r="J238">
        <f t="shared" si="18"/>
        <v>0</v>
      </c>
      <c r="K238">
        <f t="shared" si="19"/>
        <v>0</v>
      </c>
    </row>
    <row r="239" spans="1:11" x14ac:dyDescent="0.25">
      <c r="A239" s="10">
        <v>44799</v>
      </c>
      <c r="B239" s="11">
        <v>0.23326388888888888</v>
      </c>
      <c r="C239" s="11">
        <v>0.81927083333333328</v>
      </c>
      <c r="D239" s="12">
        <v>0</v>
      </c>
      <c r="E239" s="12">
        <v>16.829999999999998</v>
      </c>
      <c r="F239" s="12">
        <v>8.83</v>
      </c>
      <c r="G239" s="13">
        <v>3.07</v>
      </c>
      <c r="H239">
        <f t="shared" si="16"/>
        <v>1</v>
      </c>
      <c r="I239">
        <f t="shared" si="17"/>
        <v>0</v>
      </c>
      <c r="J239">
        <f t="shared" si="18"/>
        <v>0</v>
      </c>
      <c r="K239">
        <f t="shared" si="19"/>
        <v>0</v>
      </c>
    </row>
    <row r="240" spans="1:11" x14ac:dyDescent="0.25">
      <c r="A240" s="6">
        <v>44800</v>
      </c>
      <c r="B240" s="7">
        <v>0.23440972222222223</v>
      </c>
      <c r="C240" s="7">
        <v>0.81773148148148145</v>
      </c>
      <c r="D240" s="8">
        <v>0</v>
      </c>
      <c r="E240" s="8">
        <v>17.09</v>
      </c>
      <c r="F240" s="8">
        <v>8.6300000000000008</v>
      </c>
      <c r="G240" s="9">
        <v>0.64</v>
      </c>
      <c r="H240">
        <f t="shared" si="16"/>
        <v>1</v>
      </c>
      <c r="I240">
        <f t="shared" si="17"/>
        <v>1</v>
      </c>
      <c r="J240">
        <f t="shared" si="18"/>
        <v>1</v>
      </c>
      <c r="K240">
        <f t="shared" si="19"/>
        <v>1</v>
      </c>
    </row>
    <row r="241" spans="1:11" x14ac:dyDescent="0.25">
      <c r="A241" s="10">
        <v>44801</v>
      </c>
      <c r="B241" s="11">
        <v>0.23555555555555555</v>
      </c>
      <c r="C241" s="11">
        <v>0.81618055555555558</v>
      </c>
      <c r="D241" s="12">
        <v>0</v>
      </c>
      <c r="E241" s="12">
        <v>18.010000000000002</v>
      </c>
      <c r="F241" s="12">
        <v>10.67</v>
      </c>
      <c r="G241" s="13">
        <v>2.95</v>
      </c>
      <c r="H241">
        <f t="shared" si="16"/>
        <v>1</v>
      </c>
      <c r="I241">
        <f t="shared" si="17"/>
        <v>1</v>
      </c>
      <c r="J241">
        <f t="shared" si="18"/>
        <v>1</v>
      </c>
      <c r="K241">
        <f t="shared" si="19"/>
        <v>2</v>
      </c>
    </row>
    <row r="242" spans="1:11" x14ac:dyDescent="0.25">
      <c r="A242" s="6">
        <v>44802</v>
      </c>
      <c r="B242" s="7">
        <v>0.23670138888888889</v>
      </c>
      <c r="C242" s="7">
        <v>0.81461805555555555</v>
      </c>
      <c r="D242" s="8">
        <v>0</v>
      </c>
      <c r="E242" s="8">
        <v>19.48</v>
      </c>
      <c r="F242" s="8">
        <v>12.16</v>
      </c>
      <c r="G242" s="9">
        <v>3.2</v>
      </c>
      <c r="H242">
        <f t="shared" si="16"/>
        <v>1</v>
      </c>
      <c r="I242">
        <f t="shared" si="17"/>
        <v>1</v>
      </c>
      <c r="J242">
        <f t="shared" si="18"/>
        <v>1</v>
      </c>
      <c r="K242">
        <f t="shared" si="19"/>
        <v>3</v>
      </c>
    </row>
    <row r="243" spans="1:11" x14ac:dyDescent="0.25">
      <c r="A243" s="10">
        <v>44803</v>
      </c>
      <c r="B243" s="11">
        <v>0.23784722222222221</v>
      </c>
      <c r="C243" s="11">
        <v>0.81304398148148149</v>
      </c>
      <c r="D243" s="12">
        <v>0</v>
      </c>
      <c r="E243" s="12">
        <v>18.11</v>
      </c>
      <c r="F243" s="12">
        <v>11.38</v>
      </c>
      <c r="G243" s="13">
        <v>2.91</v>
      </c>
      <c r="H243">
        <f t="shared" si="16"/>
        <v>1</v>
      </c>
      <c r="I243">
        <f t="shared" si="17"/>
        <v>0</v>
      </c>
      <c r="J243">
        <f t="shared" si="18"/>
        <v>0</v>
      </c>
      <c r="K243">
        <f t="shared" si="19"/>
        <v>0</v>
      </c>
    </row>
    <row r="244" spans="1:11" x14ac:dyDescent="0.25">
      <c r="A244" s="6">
        <v>44804</v>
      </c>
      <c r="B244" s="7">
        <v>0.23899305555555556</v>
      </c>
      <c r="C244" s="7">
        <v>0.81146990740740743</v>
      </c>
      <c r="D244" s="8">
        <v>0</v>
      </c>
      <c r="E244" s="8">
        <v>17.559999999999999</v>
      </c>
      <c r="F244" s="8">
        <v>9.49</v>
      </c>
      <c r="G244" s="9">
        <v>0.94</v>
      </c>
      <c r="H244">
        <f t="shared" si="16"/>
        <v>1</v>
      </c>
      <c r="I244">
        <f t="shared" si="17"/>
        <v>0</v>
      </c>
      <c r="J244">
        <f t="shared" si="18"/>
        <v>0</v>
      </c>
      <c r="K244">
        <f t="shared" si="19"/>
        <v>0</v>
      </c>
    </row>
    <row r="245" spans="1:11" x14ac:dyDescent="0.25">
      <c r="A245" s="10">
        <v>44805</v>
      </c>
      <c r="B245" s="11">
        <v>0.2401388888888889</v>
      </c>
      <c r="C245" s="11">
        <v>0.80989583333333337</v>
      </c>
      <c r="D245" s="12">
        <v>0</v>
      </c>
      <c r="E245" s="12">
        <v>16.809999999999999</v>
      </c>
      <c r="F245" s="12">
        <v>9.4600000000000009</v>
      </c>
      <c r="G245" s="13">
        <v>2.19</v>
      </c>
      <c r="H245">
        <f t="shared" si="16"/>
        <v>1</v>
      </c>
      <c r="I245">
        <f t="shared" si="17"/>
        <v>0</v>
      </c>
      <c r="J245">
        <f t="shared" si="18"/>
        <v>0</v>
      </c>
      <c r="K245">
        <f t="shared" si="19"/>
        <v>0</v>
      </c>
    </row>
    <row r="246" spans="1:11" x14ac:dyDescent="0.25">
      <c r="A246" s="6">
        <v>44806</v>
      </c>
      <c r="B246" s="7">
        <v>0.24127314814814815</v>
      </c>
      <c r="C246" s="7">
        <v>0.80829861111111112</v>
      </c>
      <c r="D246" s="8">
        <v>0</v>
      </c>
      <c r="E246" s="8">
        <v>15.05</v>
      </c>
      <c r="F246" s="8">
        <v>9.31</v>
      </c>
      <c r="G246" s="9">
        <v>3.95</v>
      </c>
      <c r="H246">
        <f t="shared" si="16"/>
        <v>1</v>
      </c>
      <c r="I246">
        <f t="shared" si="17"/>
        <v>0</v>
      </c>
      <c r="J246">
        <f t="shared" si="18"/>
        <v>0</v>
      </c>
      <c r="K246">
        <f t="shared" si="19"/>
        <v>0</v>
      </c>
    </row>
    <row r="247" spans="1:11" x14ac:dyDescent="0.25">
      <c r="A247" s="10">
        <v>44807</v>
      </c>
      <c r="B247" s="11">
        <v>0.24241898148148147</v>
      </c>
      <c r="C247" s="11">
        <v>0.80671296296296291</v>
      </c>
      <c r="D247" s="12">
        <v>0</v>
      </c>
      <c r="E247" s="12">
        <v>14.3</v>
      </c>
      <c r="F247" s="12">
        <v>8.69</v>
      </c>
      <c r="G247" s="13">
        <v>4.6900000000000004</v>
      </c>
      <c r="H247">
        <f t="shared" si="16"/>
        <v>1</v>
      </c>
      <c r="I247">
        <f t="shared" si="17"/>
        <v>0</v>
      </c>
      <c r="J247">
        <f t="shared" si="18"/>
        <v>0</v>
      </c>
      <c r="K247">
        <f t="shared" si="19"/>
        <v>0</v>
      </c>
    </row>
    <row r="248" spans="1:11" x14ac:dyDescent="0.25">
      <c r="A248" s="6">
        <v>44808</v>
      </c>
      <c r="B248" s="7">
        <v>0.24356481481481482</v>
      </c>
      <c r="C248" s="7">
        <v>0.80510416666666662</v>
      </c>
      <c r="D248" s="8">
        <v>0</v>
      </c>
      <c r="E248" s="8">
        <v>19.399999999999999</v>
      </c>
      <c r="F248" s="8">
        <v>10.84</v>
      </c>
      <c r="G248" s="9">
        <v>0.84</v>
      </c>
      <c r="H248">
        <f t="shared" si="16"/>
        <v>1</v>
      </c>
      <c r="I248">
        <f t="shared" si="17"/>
        <v>1</v>
      </c>
      <c r="J248">
        <f t="shared" si="18"/>
        <v>1</v>
      </c>
      <c r="K248">
        <f t="shared" si="19"/>
        <v>1</v>
      </c>
    </row>
    <row r="249" spans="1:11" x14ac:dyDescent="0.25">
      <c r="A249" s="10">
        <v>44809</v>
      </c>
      <c r="B249" s="11">
        <v>0.24469907407407407</v>
      </c>
      <c r="C249" s="11">
        <v>0.80350694444444448</v>
      </c>
      <c r="D249" s="12">
        <v>1</v>
      </c>
      <c r="E249" s="12">
        <v>14.15</v>
      </c>
      <c r="F249" s="12">
        <v>8.94</v>
      </c>
      <c r="G249" s="13">
        <v>3.18</v>
      </c>
      <c r="H249">
        <f t="shared" si="16"/>
        <v>0</v>
      </c>
      <c r="I249">
        <f t="shared" si="17"/>
        <v>0</v>
      </c>
      <c r="J249">
        <f t="shared" si="18"/>
        <v>0</v>
      </c>
      <c r="K249">
        <f t="shared" si="19"/>
        <v>0</v>
      </c>
    </row>
    <row r="250" spans="1:11" x14ac:dyDescent="0.25">
      <c r="A250" s="6">
        <v>44810</v>
      </c>
      <c r="B250" s="7">
        <v>0.24584490740740741</v>
      </c>
      <c r="C250" s="7">
        <v>0.80189814814814819</v>
      </c>
      <c r="D250" s="8">
        <v>2</v>
      </c>
      <c r="E250" s="8">
        <v>10.199999999999999</v>
      </c>
      <c r="F250" s="8">
        <v>6.94</v>
      </c>
      <c r="G250" s="9">
        <v>1.89</v>
      </c>
      <c r="H250">
        <f t="shared" si="16"/>
        <v>0</v>
      </c>
      <c r="I250">
        <f t="shared" si="17"/>
        <v>0</v>
      </c>
      <c r="J250">
        <f t="shared" si="18"/>
        <v>0</v>
      </c>
      <c r="K250">
        <f t="shared" si="19"/>
        <v>0</v>
      </c>
    </row>
    <row r="251" spans="1:11" x14ac:dyDescent="0.25">
      <c r="A251" s="10">
        <v>44811</v>
      </c>
      <c r="B251" s="11">
        <v>0.24699074074074073</v>
      </c>
      <c r="C251" s="11">
        <v>0.80027777777777775</v>
      </c>
      <c r="D251" s="12">
        <v>0</v>
      </c>
      <c r="E251" s="12">
        <v>19.149999999999999</v>
      </c>
      <c r="F251" s="12">
        <v>12.22</v>
      </c>
      <c r="G251" s="13">
        <v>2.98</v>
      </c>
      <c r="H251">
        <f t="shared" si="16"/>
        <v>1</v>
      </c>
      <c r="I251">
        <f t="shared" si="17"/>
        <v>1</v>
      </c>
      <c r="J251">
        <f t="shared" si="18"/>
        <v>1</v>
      </c>
      <c r="K251">
        <f t="shared" si="19"/>
        <v>1</v>
      </c>
    </row>
    <row r="252" spans="1:11" x14ac:dyDescent="0.25">
      <c r="A252" s="6">
        <v>44812</v>
      </c>
      <c r="B252" s="7">
        <v>0.24812500000000001</v>
      </c>
      <c r="C252" s="7">
        <v>0.79865740740740743</v>
      </c>
      <c r="D252" s="8">
        <v>0</v>
      </c>
      <c r="E252" s="8">
        <v>16.739999999999998</v>
      </c>
      <c r="F252" s="8">
        <v>9.15</v>
      </c>
      <c r="G252" s="9">
        <v>3.48</v>
      </c>
      <c r="H252">
        <f t="shared" si="16"/>
        <v>1</v>
      </c>
      <c r="I252">
        <f t="shared" si="17"/>
        <v>0</v>
      </c>
      <c r="J252">
        <f t="shared" si="18"/>
        <v>0</v>
      </c>
      <c r="K252">
        <f t="shared" si="19"/>
        <v>0</v>
      </c>
    </row>
    <row r="253" spans="1:11" x14ac:dyDescent="0.25">
      <c r="A253" s="10">
        <v>44813</v>
      </c>
      <c r="B253" s="11">
        <v>0.24927083333333333</v>
      </c>
      <c r="C253" s="11">
        <v>0.79703703703703699</v>
      </c>
      <c r="D253" s="12">
        <v>1</v>
      </c>
      <c r="E253" s="12">
        <v>12.97</v>
      </c>
      <c r="F253" s="12">
        <v>7.63</v>
      </c>
      <c r="G253" s="13">
        <v>2.59</v>
      </c>
      <c r="H253">
        <f t="shared" si="16"/>
        <v>0</v>
      </c>
      <c r="I253">
        <f t="shared" si="17"/>
        <v>0</v>
      </c>
      <c r="J253">
        <f t="shared" si="18"/>
        <v>0</v>
      </c>
      <c r="K253">
        <f t="shared" si="19"/>
        <v>0</v>
      </c>
    </row>
    <row r="254" spans="1:11" x14ac:dyDescent="0.25">
      <c r="A254" s="6">
        <v>44814</v>
      </c>
      <c r="B254" s="7">
        <v>0.25041666666666668</v>
      </c>
      <c r="C254" s="7">
        <v>0.79541666666666666</v>
      </c>
      <c r="D254" s="8">
        <v>0</v>
      </c>
      <c r="E254" s="8">
        <v>19.690000000000001</v>
      </c>
      <c r="F254" s="8">
        <v>11.67</v>
      </c>
      <c r="G254" s="9">
        <v>1.86</v>
      </c>
      <c r="H254">
        <f t="shared" si="16"/>
        <v>1</v>
      </c>
      <c r="I254">
        <f t="shared" si="17"/>
        <v>1</v>
      </c>
      <c r="J254">
        <f t="shared" si="18"/>
        <v>1</v>
      </c>
      <c r="K254">
        <f t="shared" si="19"/>
        <v>1</v>
      </c>
    </row>
    <row r="255" spans="1:11" x14ac:dyDescent="0.25">
      <c r="A255" s="10">
        <v>44815</v>
      </c>
      <c r="B255" s="11">
        <v>0.25155092592592593</v>
      </c>
      <c r="C255" s="11">
        <v>0.79378472222222218</v>
      </c>
      <c r="D255" s="12">
        <v>1</v>
      </c>
      <c r="E255" s="12">
        <v>15.77</v>
      </c>
      <c r="F255" s="12">
        <v>9.66</v>
      </c>
      <c r="G255" s="13">
        <v>0.95</v>
      </c>
      <c r="H255">
        <f t="shared" si="16"/>
        <v>0</v>
      </c>
      <c r="I255">
        <f t="shared" si="17"/>
        <v>0</v>
      </c>
      <c r="J255">
        <f t="shared" si="18"/>
        <v>0</v>
      </c>
      <c r="K255">
        <f t="shared" si="19"/>
        <v>0</v>
      </c>
    </row>
    <row r="256" spans="1:11" x14ac:dyDescent="0.25">
      <c r="A256" s="6">
        <v>44816</v>
      </c>
      <c r="B256" s="7">
        <v>0.25269675925925927</v>
      </c>
      <c r="C256" s="7">
        <v>0.79215277777777782</v>
      </c>
      <c r="D256" s="8">
        <v>1</v>
      </c>
      <c r="E256" s="8">
        <v>13.48</v>
      </c>
      <c r="F256" s="8">
        <v>8.56</v>
      </c>
      <c r="G256" s="9">
        <v>2.94</v>
      </c>
      <c r="H256">
        <f t="shared" si="16"/>
        <v>1</v>
      </c>
      <c r="I256">
        <f t="shared" si="17"/>
        <v>0</v>
      </c>
      <c r="J256">
        <f t="shared" si="18"/>
        <v>0</v>
      </c>
      <c r="K256">
        <f t="shared" si="19"/>
        <v>0</v>
      </c>
    </row>
    <row r="257" spans="1:11" x14ac:dyDescent="0.25">
      <c r="A257" s="10">
        <v>44817</v>
      </c>
      <c r="B257" s="11">
        <v>0.25383101851851853</v>
      </c>
      <c r="C257" s="11">
        <v>0.79052083333333334</v>
      </c>
      <c r="D257" s="12">
        <v>1</v>
      </c>
      <c r="E257" s="12">
        <v>14.44</v>
      </c>
      <c r="F257" s="12">
        <v>9.48</v>
      </c>
      <c r="G257" s="13">
        <v>2.84</v>
      </c>
      <c r="H257">
        <f t="shared" si="16"/>
        <v>1</v>
      </c>
      <c r="I257">
        <f t="shared" si="17"/>
        <v>1</v>
      </c>
      <c r="J257">
        <f t="shared" si="18"/>
        <v>1</v>
      </c>
      <c r="K257">
        <f t="shared" si="19"/>
        <v>1</v>
      </c>
    </row>
    <row r="258" spans="1:11" x14ac:dyDescent="0.25">
      <c r="A258" s="6">
        <v>44818</v>
      </c>
      <c r="B258" s="7">
        <v>0.25497685185185187</v>
      </c>
      <c r="C258" s="7">
        <v>0.78887731481481482</v>
      </c>
      <c r="D258" s="8">
        <v>0</v>
      </c>
      <c r="E258" s="8">
        <v>15.61</v>
      </c>
      <c r="F258" s="8">
        <v>8.7799999999999994</v>
      </c>
      <c r="G258" s="9">
        <v>4.95</v>
      </c>
      <c r="H258">
        <f t="shared" si="16"/>
        <v>1</v>
      </c>
      <c r="I258">
        <f t="shared" si="17"/>
        <v>1</v>
      </c>
      <c r="J258">
        <f t="shared" si="18"/>
        <v>1</v>
      </c>
      <c r="K258">
        <f t="shared" si="19"/>
        <v>2</v>
      </c>
    </row>
    <row r="259" spans="1:11" x14ac:dyDescent="0.25">
      <c r="A259" s="10">
        <v>44819</v>
      </c>
      <c r="B259" s="11">
        <v>0.25612268518518516</v>
      </c>
      <c r="C259" s="11">
        <v>0.78724537037037035</v>
      </c>
      <c r="D259" s="12">
        <v>0</v>
      </c>
      <c r="E259" s="12">
        <v>18</v>
      </c>
      <c r="F259" s="12">
        <v>9.9700000000000006</v>
      </c>
      <c r="G259" s="13">
        <v>3.65</v>
      </c>
      <c r="H259">
        <f t="shared" si="16"/>
        <v>1</v>
      </c>
      <c r="I259">
        <f t="shared" si="17"/>
        <v>1</v>
      </c>
      <c r="J259">
        <f t="shared" si="18"/>
        <v>1</v>
      </c>
      <c r="K259">
        <f t="shared" si="19"/>
        <v>3</v>
      </c>
    </row>
    <row r="260" spans="1:11" x14ac:dyDescent="0.25">
      <c r="A260" s="6">
        <v>44820</v>
      </c>
      <c r="B260" s="7">
        <v>0.25725694444444447</v>
      </c>
      <c r="C260" s="7">
        <v>0.78560185185185183</v>
      </c>
      <c r="D260" s="8">
        <v>3</v>
      </c>
      <c r="E260" s="8">
        <v>9.7799999999999994</v>
      </c>
      <c r="F260" s="8">
        <v>6.88</v>
      </c>
      <c r="G260" s="9">
        <v>4.9800000000000004</v>
      </c>
      <c r="H260">
        <f t="shared" ref="H260:H323" si="20">IF(D260&lt;=D259,1,0)</f>
        <v>0</v>
      </c>
      <c r="I260">
        <f t="shared" ref="I260:I323" si="21">IF(E260&gt;=E259,1,0)</f>
        <v>0</v>
      </c>
      <c r="J260">
        <f t="shared" ref="J260:J323" si="22">IF(AND(H260=1,I260=1),1,0)</f>
        <v>0</v>
      </c>
      <c r="K260">
        <f t="shared" si="19"/>
        <v>0</v>
      </c>
    </row>
    <row r="261" spans="1:11" x14ac:dyDescent="0.25">
      <c r="A261" s="10">
        <v>44821</v>
      </c>
      <c r="B261" s="11">
        <v>0.25840277777777776</v>
      </c>
      <c r="C261" s="11">
        <v>0.78396990740740746</v>
      </c>
      <c r="D261" s="12">
        <v>1</v>
      </c>
      <c r="E261" s="12">
        <v>13.43</v>
      </c>
      <c r="F261" s="12">
        <v>8.9700000000000006</v>
      </c>
      <c r="G261" s="13">
        <v>3.24</v>
      </c>
      <c r="H261">
        <f t="shared" si="20"/>
        <v>1</v>
      </c>
      <c r="I261">
        <f t="shared" si="21"/>
        <v>1</v>
      </c>
      <c r="J261">
        <f t="shared" si="22"/>
        <v>1</v>
      </c>
      <c r="K261">
        <f t="shared" ref="K261:K324" si="23">IF(J261=0,0,J261+K260)</f>
        <v>1</v>
      </c>
    </row>
    <row r="262" spans="1:11" x14ac:dyDescent="0.25">
      <c r="A262" s="6">
        <v>44822</v>
      </c>
      <c r="B262" s="7">
        <v>0.2595486111111111</v>
      </c>
      <c r="C262" s="7">
        <v>0.78232638888888884</v>
      </c>
      <c r="D262" s="8">
        <v>1</v>
      </c>
      <c r="E262" s="8">
        <v>12.57</v>
      </c>
      <c r="F262" s="8">
        <v>8.44</v>
      </c>
      <c r="G262" s="9">
        <v>3.16</v>
      </c>
      <c r="H262">
        <f t="shared" si="20"/>
        <v>1</v>
      </c>
      <c r="I262">
        <f t="shared" si="21"/>
        <v>0</v>
      </c>
      <c r="J262">
        <f t="shared" si="22"/>
        <v>0</v>
      </c>
      <c r="K262">
        <f t="shared" si="23"/>
        <v>0</v>
      </c>
    </row>
    <row r="263" spans="1:11" x14ac:dyDescent="0.25">
      <c r="A263" s="10">
        <v>44823</v>
      </c>
      <c r="B263" s="11">
        <v>0.26069444444444445</v>
      </c>
      <c r="C263" s="11">
        <v>0.78068287037037032</v>
      </c>
      <c r="D263" s="12">
        <v>2</v>
      </c>
      <c r="E263" s="12">
        <v>10.44</v>
      </c>
      <c r="F263" s="12">
        <v>7.84</v>
      </c>
      <c r="G263" s="13">
        <v>2.48</v>
      </c>
      <c r="H263">
        <f t="shared" si="20"/>
        <v>0</v>
      </c>
      <c r="I263">
        <f t="shared" si="21"/>
        <v>0</v>
      </c>
      <c r="J263">
        <f t="shared" si="22"/>
        <v>0</v>
      </c>
      <c r="K263">
        <f t="shared" si="23"/>
        <v>0</v>
      </c>
    </row>
    <row r="264" spans="1:11" x14ac:dyDescent="0.25">
      <c r="A264" s="6">
        <v>44824</v>
      </c>
      <c r="B264" s="7">
        <v>0.2618402777777778</v>
      </c>
      <c r="C264" s="7">
        <v>0.7790393518518518</v>
      </c>
      <c r="D264" s="8">
        <v>0</v>
      </c>
      <c r="E264" s="8">
        <v>14.53</v>
      </c>
      <c r="F264" s="8">
        <v>5.65</v>
      </c>
      <c r="G264" s="9">
        <v>2.94</v>
      </c>
      <c r="H264">
        <f t="shared" si="20"/>
        <v>1</v>
      </c>
      <c r="I264">
        <f t="shared" si="21"/>
        <v>1</v>
      </c>
      <c r="J264">
        <f t="shared" si="22"/>
        <v>1</v>
      </c>
      <c r="K264">
        <f t="shared" si="23"/>
        <v>1</v>
      </c>
    </row>
    <row r="265" spans="1:11" x14ac:dyDescent="0.25">
      <c r="A265" s="10">
        <v>44825</v>
      </c>
      <c r="B265" s="11">
        <v>0.26298611111111109</v>
      </c>
      <c r="C265" s="11">
        <v>0.77740740740740744</v>
      </c>
      <c r="D265" s="12">
        <v>0</v>
      </c>
      <c r="E265" s="12">
        <v>14.84</v>
      </c>
      <c r="F265" s="12">
        <v>5.95</v>
      </c>
      <c r="G265" s="13">
        <v>1.9</v>
      </c>
      <c r="H265">
        <f t="shared" si="20"/>
        <v>1</v>
      </c>
      <c r="I265">
        <f t="shared" si="21"/>
        <v>1</v>
      </c>
      <c r="J265">
        <f t="shared" si="22"/>
        <v>1</v>
      </c>
      <c r="K265">
        <f t="shared" si="23"/>
        <v>2</v>
      </c>
    </row>
    <row r="266" spans="1:11" x14ac:dyDescent="0.25">
      <c r="A266" s="6">
        <v>44826</v>
      </c>
      <c r="B266" s="7">
        <v>0.26414351851851853</v>
      </c>
      <c r="C266" s="7">
        <v>0.77576388888888892</v>
      </c>
      <c r="D266" s="8">
        <v>0</v>
      </c>
      <c r="E266" s="8">
        <v>16.510000000000002</v>
      </c>
      <c r="F266" s="8">
        <v>7.84</v>
      </c>
      <c r="G266" s="9">
        <v>0.84</v>
      </c>
      <c r="H266">
        <f t="shared" si="20"/>
        <v>1</v>
      </c>
      <c r="I266">
        <f t="shared" si="21"/>
        <v>1</v>
      </c>
      <c r="J266">
        <f t="shared" si="22"/>
        <v>1</v>
      </c>
      <c r="K266">
        <f t="shared" si="23"/>
        <v>3</v>
      </c>
    </row>
    <row r="267" spans="1:11" x14ac:dyDescent="0.25">
      <c r="A267" s="10">
        <v>44827</v>
      </c>
      <c r="B267" s="11">
        <v>0.26528935185185187</v>
      </c>
      <c r="C267" s="11">
        <v>0.7741203703703704</v>
      </c>
      <c r="D267" s="12">
        <v>0</v>
      </c>
      <c r="E267" s="12">
        <v>12.03</v>
      </c>
      <c r="F267" s="12">
        <v>6.37</v>
      </c>
      <c r="G267" s="13">
        <v>5.4</v>
      </c>
      <c r="H267">
        <f t="shared" si="20"/>
        <v>1</v>
      </c>
      <c r="I267">
        <f t="shared" si="21"/>
        <v>0</v>
      </c>
      <c r="J267">
        <f t="shared" si="22"/>
        <v>0</v>
      </c>
      <c r="K267">
        <f t="shared" si="23"/>
        <v>0</v>
      </c>
    </row>
    <row r="268" spans="1:11" x14ac:dyDescent="0.25">
      <c r="A268" s="6">
        <v>44828</v>
      </c>
      <c r="B268" s="7">
        <v>0.26643518518518516</v>
      </c>
      <c r="C268" s="7">
        <v>0.77248842592592593</v>
      </c>
      <c r="D268" s="8">
        <v>0</v>
      </c>
      <c r="E268" s="8">
        <v>15.85</v>
      </c>
      <c r="F268" s="8">
        <v>6.64</v>
      </c>
      <c r="G268" s="9">
        <v>2.69</v>
      </c>
      <c r="H268">
        <f t="shared" si="20"/>
        <v>1</v>
      </c>
      <c r="I268">
        <f t="shared" si="21"/>
        <v>1</v>
      </c>
      <c r="J268">
        <f t="shared" si="22"/>
        <v>1</v>
      </c>
      <c r="K268">
        <f t="shared" si="23"/>
        <v>1</v>
      </c>
    </row>
    <row r="269" spans="1:11" x14ac:dyDescent="0.25">
      <c r="A269" s="10">
        <v>44829</v>
      </c>
      <c r="B269" s="11">
        <v>0.2675925925925926</v>
      </c>
      <c r="C269" s="11">
        <v>0.77084490740740741</v>
      </c>
      <c r="D269" s="12">
        <v>0</v>
      </c>
      <c r="E269" s="12">
        <v>18.45</v>
      </c>
      <c r="F269" s="12">
        <v>8.5399999999999991</v>
      </c>
      <c r="G269" s="13">
        <v>1.02</v>
      </c>
      <c r="H269">
        <f t="shared" si="20"/>
        <v>1</v>
      </c>
      <c r="I269">
        <f t="shared" si="21"/>
        <v>1</v>
      </c>
      <c r="J269">
        <f t="shared" si="22"/>
        <v>1</v>
      </c>
      <c r="K269">
        <f t="shared" si="23"/>
        <v>2</v>
      </c>
    </row>
    <row r="270" spans="1:11" x14ac:dyDescent="0.25">
      <c r="A270" s="6">
        <v>44830</v>
      </c>
      <c r="B270" s="7">
        <v>0.26874999999999999</v>
      </c>
      <c r="C270" s="7">
        <v>0.76921296296296293</v>
      </c>
      <c r="D270" s="8">
        <v>1</v>
      </c>
      <c r="E270" s="8">
        <v>11.93</v>
      </c>
      <c r="F270" s="8">
        <v>7.93</v>
      </c>
      <c r="G270" s="9">
        <v>3.04</v>
      </c>
      <c r="H270">
        <f t="shared" si="20"/>
        <v>0</v>
      </c>
      <c r="I270">
        <f t="shared" si="21"/>
        <v>0</v>
      </c>
      <c r="J270">
        <f t="shared" si="22"/>
        <v>0</v>
      </c>
      <c r="K270">
        <f t="shared" si="23"/>
        <v>0</v>
      </c>
    </row>
    <row r="271" spans="1:11" x14ac:dyDescent="0.25">
      <c r="A271" s="10">
        <v>44831</v>
      </c>
      <c r="B271" s="11">
        <v>0.26990740740740743</v>
      </c>
      <c r="C271" s="11">
        <v>0.76758101851851857</v>
      </c>
      <c r="D271" s="12">
        <v>0</v>
      </c>
      <c r="E271" s="12">
        <v>13.34</v>
      </c>
      <c r="F271" s="12">
        <v>8.39</v>
      </c>
      <c r="G271" s="13">
        <v>2.84</v>
      </c>
      <c r="H271">
        <f t="shared" si="20"/>
        <v>1</v>
      </c>
      <c r="I271">
        <f t="shared" si="21"/>
        <v>1</v>
      </c>
      <c r="J271">
        <f t="shared" si="22"/>
        <v>1</v>
      </c>
      <c r="K271">
        <f t="shared" si="23"/>
        <v>1</v>
      </c>
    </row>
    <row r="272" spans="1:11" x14ac:dyDescent="0.25">
      <c r="A272" s="6">
        <v>44832</v>
      </c>
      <c r="B272" s="7">
        <v>0.27106481481481481</v>
      </c>
      <c r="C272" s="7">
        <v>0.76596064814814813</v>
      </c>
      <c r="D272" s="8">
        <v>0</v>
      </c>
      <c r="E272" s="8">
        <v>13.66</v>
      </c>
      <c r="F272" s="8">
        <v>7.55</v>
      </c>
      <c r="G272" s="9">
        <v>2.14</v>
      </c>
      <c r="H272">
        <f t="shared" si="20"/>
        <v>1</v>
      </c>
      <c r="I272">
        <f t="shared" si="21"/>
        <v>1</v>
      </c>
      <c r="J272">
        <f t="shared" si="22"/>
        <v>1</v>
      </c>
      <c r="K272">
        <f t="shared" si="23"/>
        <v>2</v>
      </c>
    </row>
    <row r="273" spans="1:11" x14ac:dyDescent="0.25">
      <c r="A273" s="10">
        <v>44833</v>
      </c>
      <c r="B273" s="11">
        <v>0.27223379629629629</v>
      </c>
      <c r="C273" s="11">
        <v>0.76432870370370365</v>
      </c>
      <c r="D273" s="12">
        <v>2</v>
      </c>
      <c r="E273" s="12">
        <v>9.33</v>
      </c>
      <c r="F273" s="12">
        <v>5.86</v>
      </c>
      <c r="G273" s="13">
        <v>2.19</v>
      </c>
      <c r="H273">
        <f t="shared" si="20"/>
        <v>0</v>
      </c>
      <c r="I273">
        <f t="shared" si="21"/>
        <v>0</v>
      </c>
      <c r="J273">
        <f t="shared" si="22"/>
        <v>0</v>
      </c>
      <c r="K273">
        <f t="shared" si="23"/>
        <v>0</v>
      </c>
    </row>
    <row r="274" spans="1:11" x14ac:dyDescent="0.25">
      <c r="A274" s="6">
        <v>44834</v>
      </c>
      <c r="B274" s="7">
        <v>0.27339120370370368</v>
      </c>
      <c r="C274" s="7">
        <v>0.76270833333333332</v>
      </c>
      <c r="D274" s="8">
        <v>0</v>
      </c>
      <c r="E274" s="8">
        <v>12.98</v>
      </c>
      <c r="F274" s="8">
        <v>6.32</v>
      </c>
      <c r="G274" s="9">
        <v>3.02</v>
      </c>
      <c r="H274">
        <f t="shared" si="20"/>
        <v>1</v>
      </c>
      <c r="I274">
        <f t="shared" si="21"/>
        <v>1</v>
      </c>
      <c r="J274">
        <f t="shared" si="22"/>
        <v>1</v>
      </c>
      <c r="K274">
        <f t="shared" si="23"/>
        <v>1</v>
      </c>
    </row>
    <row r="275" spans="1:11" x14ac:dyDescent="0.25">
      <c r="A275" s="10">
        <v>44835</v>
      </c>
      <c r="B275" s="11">
        <v>0.27456018518518521</v>
      </c>
      <c r="C275" s="11">
        <v>0.76108796296296299</v>
      </c>
      <c r="D275" s="12">
        <v>3</v>
      </c>
      <c r="E275" s="12">
        <v>6.6</v>
      </c>
      <c r="F275" s="12">
        <v>5.68</v>
      </c>
      <c r="G275" s="13">
        <v>4.16</v>
      </c>
      <c r="H275">
        <f t="shared" si="20"/>
        <v>0</v>
      </c>
      <c r="I275">
        <f t="shared" si="21"/>
        <v>0</v>
      </c>
      <c r="J275">
        <f t="shared" si="22"/>
        <v>0</v>
      </c>
      <c r="K275">
        <f t="shared" si="23"/>
        <v>0</v>
      </c>
    </row>
    <row r="276" spans="1:11" x14ac:dyDescent="0.25">
      <c r="A276" s="6">
        <v>44836</v>
      </c>
      <c r="B276" s="7">
        <v>0.27572916666666669</v>
      </c>
      <c r="C276" s="7">
        <v>0.75947916666666671</v>
      </c>
      <c r="D276" s="8">
        <v>2</v>
      </c>
      <c r="E276" s="8">
        <v>8.07</v>
      </c>
      <c r="F276" s="8">
        <v>6.79</v>
      </c>
      <c r="G276" s="9">
        <v>5.03</v>
      </c>
      <c r="H276">
        <f t="shared" si="20"/>
        <v>1</v>
      </c>
      <c r="I276">
        <f t="shared" si="21"/>
        <v>1</v>
      </c>
      <c r="J276">
        <f t="shared" si="22"/>
        <v>1</v>
      </c>
      <c r="K276">
        <f t="shared" si="23"/>
        <v>1</v>
      </c>
    </row>
    <row r="277" spans="1:11" x14ac:dyDescent="0.25">
      <c r="A277" s="10">
        <v>44837</v>
      </c>
      <c r="B277" s="11">
        <v>0.27689814814814817</v>
      </c>
      <c r="C277" s="11">
        <v>0.75787037037037042</v>
      </c>
      <c r="D277" s="12">
        <v>4</v>
      </c>
      <c r="E277" s="12">
        <v>4.42</v>
      </c>
      <c r="F277" s="12">
        <v>3.32</v>
      </c>
      <c r="G277" s="13">
        <v>3.56</v>
      </c>
      <c r="H277">
        <f t="shared" si="20"/>
        <v>0</v>
      </c>
      <c r="I277">
        <f t="shared" si="21"/>
        <v>0</v>
      </c>
      <c r="J277">
        <f t="shared" si="22"/>
        <v>0</v>
      </c>
      <c r="K277">
        <f t="shared" si="23"/>
        <v>0</v>
      </c>
    </row>
    <row r="278" spans="1:11" x14ac:dyDescent="0.25">
      <c r="A278" s="6">
        <v>44838</v>
      </c>
      <c r="B278" s="7">
        <v>0.27807870370370369</v>
      </c>
      <c r="C278" s="7">
        <v>0.75626157407407413</v>
      </c>
      <c r="D278" s="8">
        <v>4</v>
      </c>
      <c r="E278" s="8">
        <v>4.3899999999999997</v>
      </c>
      <c r="F278" s="8">
        <v>1.26</v>
      </c>
      <c r="G278" s="9">
        <v>1.19</v>
      </c>
      <c r="H278">
        <f t="shared" si="20"/>
        <v>1</v>
      </c>
      <c r="I278">
        <f t="shared" si="21"/>
        <v>0</v>
      </c>
      <c r="J278">
        <f t="shared" si="22"/>
        <v>0</v>
      </c>
      <c r="K278">
        <f t="shared" si="23"/>
        <v>0</v>
      </c>
    </row>
    <row r="279" spans="1:11" x14ac:dyDescent="0.25">
      <c r="A279" s="10">
        <v>44839</v>
      </c>
      <c r="B279" s="11">
        <v>0.27925925925925926</v>
      </c>
      <c r="C279" s="11">
        <v>0.75466435185185188</v>
      </c>
      <c r="D279" s="12">
        <v>4</v>
      </c>
      <c r="E279" s="12">
        <v>5.07</v>
      </c>
      <c r="F279" s="12">
        <v>2.68</v>
      </c>
      <c r="G279" s="13">
        <v>2.14</v>
      </c>
      <c r="H279">
        <f t="shared" si="20"/>
        <v>1</v>
      </c>
      <c r="I279">
        <f t="shared" si="21"/>
        <v>1</v>
      </c>
      <c r="J279">
        <f t="shared" si="22"/>
        <v>1</v>
      </c>
      <c r="K279">
        <f t="shared" si="23"/>
        <v>1</v>
      </c>
    </row>
    <row r="280" spans="1:11" x14ac:dyDescent="0.25">
      <c r="A280" s="6">
        <v>44840</v>
      </c>
      <c r="B280" s="7">
        <v>0.28043981481481484</v>
      </c>
      <c r="C280" s="7">
        <v>0.75306712962962963</v>
      </c>
      <c r="D280" s="8">
        <v>4</v>
      </c>
      <c r="E280" s="8">
        <v>5.66</v>
      </c>
      <c r="F280" s="8">
        <v>3.96</v>
      </c>
      <c r="G280" s="9">
        <v>2.1800000000000002</v>
      </c>
      <c r="H280">
        <f t="shared" si="20"/>
        <v>1</v>
      </c>
      <c r="I280">
        <f t="shared" si="21"/>
        <v>1</v>
      </c>
      <c r="J280">
        <f t="shared" si="22"/>
        <v>1</v>
      </c>
      <c r="K280">
        <f t="shared" si="23"/>
        <v>2</v>
      </c>
    </row>
    <row r="281" spans="1:11" x14ac:dyDescent="0.25">
      <c r="A281" s="10">
        <v>44841</v>
      </c>
      <c r="B281" s="11">
        <v>0.28162037037037035</v>
      </c>
      <c r="C281" s="11">
        <v>0.75148148148148153</v>
      </c>
      <c r="D281" s="12">
        <v>4</v>
      </c>
      <c r="E281" s="12">
        <v>5.19</v>
      </c>
      <c r="F281" s="12">
        <v>3.12</v>
      </c>
      <c r="G281" s="13">
        <v>4.0599999999999996</v>
      </c>
      <c r="H281">
        <f t="shared" si="20"/>
        <v>1</v>
      </c>
      <c r="I281">
        <f t="shared" si="21"/>
        <v>0</v>
      </c>
      <c r="J281">
        <f t="shared" si="22"/>
        <v>0</v>
      </c>
      <c r="K281">
        <f t="shared" si="23"/>
        <v>0</v>
      </c>
    </row>
    <row r="282" spans="1:11" x14ac:dyDescent="0.25">
      <c r="A282" s="6">
        <v>44842</v>
      </c>
      <c r="B282" s="7">
        <v>0.28281250000000002</v>
      </c>
      <c r="C282" s="7">
        <v>0.74989583333333332</v>
      </c>
      <c r="D282" s="8">
        <v>7</v>
      </c>
      <c r="E282" s="8">
        <v>3.5</v>
      </c>
      <c r="F282" s="8">
        <v>1.65</v>
      </c>
      <c r="G282" s="9">
        <v>4.26</v>
      </c>
      <c r="H282">
        <f t="shared" si="20"/>
        <v>0</v>
      </c>
      <c r="I282">
        <f t="shared" si="21"/>
        <v>0</v>
      </c>
      <c r="J282">
        <f t="shared" si="22"/>
        <v>0</v>
      </c>
      <c r="K282">
        <f t="shared" si="23"/>
        <v>0</v>
      </c>
    </row>
    <row r="283" spans="1:11" x14ac:dyDescent="0.25">
      <c r="A283" s="10">
        <v>44843</v>
      </c>
      <c r="B283" s="11">
        <v>0.28399305555555554</v>
      </c>
      <c r="C283" s="11">
        <v>0.74832175925925926</v>
      </c>
      <c r="D283" s="12">
        <v>1</v>
      </c>
      <c r="E283" s="12">
        <v>9.49</v>
      </c>
      <c r="F283" s="12">
        <v>4.95</v>
      </c>
      <c r="G283" s="13">
        <v>2.89</v>
      </c>
      <c r="H283">
        <f t="shared" si="20"/>
        <v>1</v>
      </c>
      <c r="I283">
        <f t="shared" si="21"/>
        <v>1</v>
      </c>
      <c r="J283">
        <f t="shared" si="22"/>
        <v>1</v>
      </c>
      <c r="K283">
        <f t="shared" si="23"/>
        <v>1</v>
      </c>
    </row>
    <row r="284" spans="1:11" x14ac:dyDescent="0.25">
      <c r="A284" s="6">
        <v>44844</v>
      </c>
      <c r="B284" s="7">
        <v>0.28519675925925925</v>
      </c>
      <c r="C284" s="7">
        <v>0.74675925925925923</v>
      </c>
      <c r="D284" s="8">
        <v>3</v>
      </c>
      <c r="E284" s="8">
        <v>6.48</v>
      </c>
      <c r="F284" s="8">
        <v>4.8499999999999996</v>
      </c>
      <c r="G284" s="9">
        <v>3.41</v>
      </c>
      <c r="H284">
        <f t="shared" si="20"/>
        <v>0</v>
      </c>
      <c r="I284">
        <f t="shared" si="21"/>
        <v>0</v>
      </c>
      <c r="J284">
        <f t="shared" si="22"/>
        <v>0</v>
      </c>
      <c r="K284">
        <f t="shared" si="23"/>
        <v>0</v>
      </c>
    </row>
    <row r="285" spans="1:11" x14ac:dyDescent="0.25">
      <c r="A285" s="10">
        <v>44845</v>
      </c>
      <c r="B285" s="11">
        <v>0.28638888888888892</v>
      </c>
      <c r="C285" s="11">
        <v>0.74519675925925921</v>
      </c>
      <c r="D285" s="12">
        <v>3</v>
      </c>
      <c r="E285" s="12">
        <v>5.86</v>
      </c>
      <c r="F285" s="12">
        <v>4.97</v>
      </c>
      <c r="G285" s="13">
        <v>4.0199999999999996</v>
      </c>
      <c r="H285">
        <f t="shared" si="20"/>
        <v>1</v>
      </c>
      <c r="I285">
        <f t="shared" si="21"/>
        <v>0</v>
      </c>
      <c r="J285">
        <f t="shared" si="22"/>
        <v>0</v>
      </c>
      <c r="K285">
        <f t="shared" si="23"/>
        <v>0</v>
      </c>
    </row>
    <row r="286" spans="1:11" x14ac:dyDescent="0.25">
      <c r="A286" s="6">
        <v>44846</v>
      </c>
      <c r="B286" s="7">
        <v>0.28759259259259257</v>
      </c>
      <c r="C286" s="7">
        <v>0.74364583333333334</v>
      </c>
      <c r="D286" s="8">
        <v>3</v>
      </c>
      <c r="E286" s="8">
        <v>5.92</v>
      </c>
      <c r="F286" s="8">
        <v>4.3600000000000003</v>
      </c>
      <c r="G286" s="9">
        <v>2.68</v>
      </c>
      <c r="H286">
        <f t="shared" si="20"/>
        <v>1</v>
      </c>
      <c r="I286">
        <f t="shared" si="21"/>
        <v>1</v>
      </c>
      <c r="J286">
        <f t="shared" si="22"/>
        <v>1</v>
      </c>
      <c r="K286">
        <f t="shared" si="23"/>
        <v>1</v>
      </c>
    </row>
    <row r="287" spans="1:11" x14ac:dyDescent="0.25">
      <c r="A287" s="10">
        <v>44847</v>
      </c>
      <c r="B287" s="11">
        <v>0.28879629629629627</v>
      </c>
      <c r="C287" s="11">
        <v>0.74209490740740736</v>
      </c>
      <c r="D287" s="12">
        <v>5</v>
      </c>
      <c r="E287" s="12">
        <v>3.69</v>
      </c>
      <c r="F287" s="12">
        <v>1.58</v>
      </c>
      <c r="G287" s="13">
        <v>2.4300000000000002</v>
      </c>
      <c r="H287">
        <f t="shared" si="20"/>
        <v>0</v>
      </c>
      <c r="I287">
        <f t="shared" si="21"/>
        <v>0</v>
      </c>
      <c r="J287">
        <f t="shared" si="22"/>
        <v>0</v>
      </c>
      <c r="K287">
        <f t="shared" si="23"/>
        <v>0</v>
      </c>
    </row>
    <row r="288" spans="1:11" x14ac:dyDescent="0.25">
      <c r="A288" s="6">
        <v>44848</v>
      </c>
      <c r="B288" s="7">
        <v>0.28999999999999998</v>
      </c>
      <c r="C288" s="7">
        <v>0.74056712962962967</v>
      </c>
      <c r="D288" s="8">
        <v>1</v>
      </c>
      <c r="E288" s="8">
        <v>8.8800000000000008</v>
      </c>
      <c r="F288" s="8">
        <v>3.95</v>
      </c>
      <c r="G288" s="9">
        <v>2.44</v>
      </c>
      <c r="H288">
        <f t="shared" si="20"/>
        <v>1</v>
      </c>
      <c r="I288">
        <f t="shared" si="21"/>
        <v>1</v>
      </c>
      <c r="J288">
        <f t="shared" si="22"/>
        <v>1</v>
      </c>
      <c r="K288">
        <f t="shared" si="23"/>
        <v>1</v>
      </c>
    </row>
    <row r="289" spans="1:11" x14ac:dyDescent="0.25">
      <c r="A289" s="10">
        <v>44849</v>
      </c>
      <c r="B289" s="11">
        <v>0.29121527777777778</v>
      </c>
      <c r="C289" s="11">
        <v>0.73903935185185188</v>
      </c>
      <c r="D289" s="12">
        <v>1</v>
      </c>
      <c r="E289" s="12">
        <v>8.56</v>
      </c>
      <c r="F289" s="12">
        <v>2.86</v>
      </c>
      <c r="G289" s="13">
        <v>1.61</v>
      </c>
      <c r="H289">
        <f t="shared" si="20"/>
        <v>1</v>
      </c>
      <c r="I289">
        <f t="shared" si="21"/>
        <v>0</v>
      </c>
      <c r="J289">
        <f t="shared" si="22"/>
        <v>0</v>
      </c>
      <c r="K289">
        <f t="shared" si="23"/>
        <v>0</v>
      </c>
    </row>
    <row r="290" spans="1:11" x14ac:dyDescent="0.25">
      <c r="A290" s="6">
        <v>44850</v>
      </c>
      <c r="B290" s="7">
        <v>0.29243055555555558</v>
      </c>
      <c r="C290" s="7">
        <v>0.73752314814814812</v>
      </c>
      <c r="D290" s="8">
        <v>0</v>
      </c>
      <c r="E290" s="8">
        <v>14.7</v>
      </c>
      <c r="F290" s="8">
        <v>5.42</v>
      </c>
      <c r="G290" s="9">
        <v>2.48</v>
      </c>
      <c r="H290">
        <f t="shared" si="20"/>
        <v>1</v>
      </c>
      <c r="I290">
        <f t="shared" si="21"/>
        <v>1</v>
      </c>
      <c r="J290">
        <f t="shared" si="22"/>
        <v>1</v>
      </c>
      <c r="K290">
        <f t="shared" si="23"/>
        <v>1</v>
      </c>
    </row>
    <row r="291" spans="1:11" x14ac:dyDescent="0.25">
      <c r="A291" s="10">
        <v>44851</v>
      </c>
      <c r="B291" s="11">
        <v>0.29364583333333333</v>
      </c>
      <c r="C291" s="11">
        <v>0.73601851851851852</v>
      </c>
      <c r="D291" s="12">
        <v>1</v>
      </c>
      <c r="E291" s="12">
        <v>11.59</v>
      </c>
      <c r="F291" s="12">
        <v>6.72</v>
      </c>
      <c r="G291" s="13">
        <v>2.4700000000000002</v>
      </c>
      <c r="H291">
        <f t="shared" si="20"/>
        <v>0</v>
      </c>
      <c r="I291">
        <f t="shared" si="21"/>
        <v>0</v>
      </c>
      <c r="J291">
        <f t="shared" si="22"/>
        <v>0</v>
      </c>
      <c r="K291">
        <f t="shared" si="23"/>
        <v>0</v>
      </c>
    </row>
    <row r="292" spans="1:11" x14ac:dyDescent="0.25">
      <c r="A292" s="6">
        <v>44852</v>
      </c>
      <c r="B292" s="7">
        <v>0.29486111111111113</v>
      </c>
      <c r="C292" s="7">
        <v>0.73451388888888891</v>
      </c>
      <c r="D292" s="8">
        <v>6</v>
      </c>
      <c r="E292" s="8">
        <v>3.26</v>
      </c>
      <c r="F292" s="8">
        <v>1.96</v>
      </c>
      <c r="G292" s="9">
        <v>3.14</v>
      </c>
      <c r="H292">
        <f t="shared" si="20"/>
        <v>0</v>
      </c>
      <c r="I292">
        <f t="shared" si="21"/>
        <v>0</v>
      </c>
      <c r="J292">
        <f t="shared" si="22"/>
        <v>0</v>
      </c>
      <c r="K292">
        <f t="shared" si="23"/>
        <v>0</v>
      </c>
    </row>
    <row r="293" spans="1:11" x14ac:dyDescent="0.25">
      <c r="A293" s="10">
        <v>44853</v>
      </c>
      <c r="B293" s="11">
        <v>0.29608796296296297</v>
      </c>
      <c r="C293" s="11">
        <v>0.73303240740740738</v>
      </c>
      <c r="D293" s="12">
        <v>4</v>
      </c>
      <c r="E293" s="12">
        <v>4.9000000000000004</v>
      </c>
      <c r="F293" s="12">
        <v>1.87</v>
      </c>
      <c r="G293" s="13">
        <v>3.61</v>
      </c>
      <c r="H293">
        <f t="shared" si="20"/>
        <v>1</v>
      </c>
      <c r="I293">
        <f t="shared" si="21"/>
        <v>1</v>
      </c>
      <c r="J293">
        <f t="shared" si="22"/>
        <v>1</v>
      </c>
      <c r="K293">
        <f t="shared" si="23"/>
        <v>1</v>
      </c>
    </row>
    <row r="294" spans="1:11" x14ac:dyDescent="0.25">
      <c r="A294" s="6">
        <v>44854</v>
      </c>
      <c r="B294" s="7">
        <v>0.29731481481481481</v>
      </c>
      <c r="C294" s="7">
        <v>0.7315625</v>
      </c>
      <c r="D294" s="8">
        <v>1</v>
      </c>
      <c r="E294" s="8">
        <v>9.3800000000000008</v>
      </c>
      <c r="F294" s="8">
        <v>5.46</v>
      </c>
      <c r="G294" s="9">
        <v>3.45</v>
      </c>
      <c r="H294">
        <f t="shared" si="20"/>
        <v>1</v>
      </c>
      <c r="I294">
        <f t="shared" si="21"/>
        <v>1</v>
      </c>
      <c r="J294">
        <f t="shared" si="22"/>
        <v>1</v>
      </c>
      <c r="K294">
        <f t="shared" si="23"/>
        <v>2</v>
      </c>
    </row>
    <row r="295" spans="1:11" x14ac:dyDescent="0.25">
      <c r="A295" s="10">
        <v>44855</v>
      </c>
      <c r="B295" s="11">
        <v>0.29855324074074074</v>
      </c>
      <c r="C295" s="11">
        <v>0.73009259259259263</v>
      </c>
      <c r="D295" s="12">
        <v>3</v>
      </c>
      <c r="E295" s="12">
        <v>5.29</v>
      </c>
      <c r="F295" s="12">
        <v>3.94</v>
      </c>
      <c r="G295" s="13">
        <v>3.48</v>
      </c>
      <c r="H295">
        <f t="shared" si="20"/>
        <v>0</v>
      </c>
      <c r="I295">
        <f t="shared" si="21"/>
        <v>0</v>
      </c>
      <c r="J295">
        <f t="shared" si="22"/>
        <v>0</v>
      </c>
      <c r="K295">
        <f t="shared" si="23"/>
        <v>0</v>
      </c>
    </row>
    <row r="296" spans="1:11" x14ac:dyDescent="0.25">
      <c r="A296" s="6">
        <v>44856</v>
      </c>
      <c r="B296" s="7">
        <v>0.29978009259259258</v>
      </c>
      <c r="C296" s="7">
        <v>0.72864583333333333</v>
      </c>
      <c r="D296" s="8">
        <v>0</v>
      </c>
      <c r="E296" s="8">
        <v>13.23</v>
      </c>
      <c r="F296" s="8">
        <v>6.74</v>
      </c>
      <c r="G296" s="9">
        <v>2.69</v>
      </c>
      <c r="H296">
        <f t="shared" si="20"/>
        <v>1</v>
      </c>
      <c r="I296">
        <f t="shared" si="21"/>
        <v>1</v>
      </c>
      <c r="J296">
        <f t="shared" si="22"/>
        <v>1</v>
      </c>
      <c r="K296">
        <f t="shared" si="23"/>
        <v>1</v>
      </c>
    </row>
    <row r="297" spans="1:11" x14ac:dyDescent="0.25">
      <c r="A297" s="10">
        <v>44857</v>
      </c>
      <c r="B297" s="11">
        <v>0.30101851851851852</v>
      </c>
      <c r="C297" s="11">
        <v>0.72721064814814818</v>
      </c>
      <c r="D297" s="12">
        <v>7</v>
      </c>
      <c r="E297" s="12">
        <v>3.97</v>
      </c>
      <c r="F297" s="12">
        <v>1.64</v>
      </c>
      <c r="G297" s="13">
        <v>4.84</v>
      </c>
      <c r="H297">
        <f t="shared" si="20"/>
        <v>0</v>
      </c>
      <c r="I297">
        <f t="shared" si="21"/>
        <v>0</v>
      </c>
      <c r="J297">
        <f t="shared" si="22"/>
        <v>0</v>
      </c>
      <c r="K297">
        <f t="shared" si="23"/>
        <v>0</v>
      </c>
    </row>
    <row r="298" spans="1:11" x14ac:dyDescent="0.25">
      <c r="A298" s="6">
        <v>44858</v>
      </c>
      <c r="B298" s="7">
        <v>0.30225694444444445</v>
      </c>
      <c r="C298" s="7">
        <v>0.72578703703703706</v>
      </c>
      <c r="D298" s="8">
        <v>0</v>
      </c>
      <c r="E298" s="8">
        <v>12.38</v>
      </c>
      <c r="F298" s="8">
        <v>6.35</v>
      </c>
      <c r="G298" s="9">
        <v>3.66</v>
      </c>
      <c r="H298">
        <f t="shared" si="20"/>
        <v>1</v>
      </c>
      <c r="I298">
        <f t="shared" si="21"/>
        <v>1</v>
      </c>
      <c r="J298">
        <f t="shared" si="22"/>
        <v>1</v>
      </c>
      <c r="K298">
        <f t="shared" si="23"/>
        <v>1</v>
      </c>
    </row>
    <row r="299" spans="1:11" x14ac:dyDescent="0.25">
      <c r="A299" s="10">
        <v>44859</v>
      </c>
      <c r="B299" s="11">
        <v>0.30349537037037039</v>
      </c>
      <c r="C299" s="11">
        <v>0.72437499999999999</v>
      </c>
      <c r="D299" s="12">
        <v>4</v>
      </c>
      <c r="E299" s="12">
        <v>4.58</v>
      </c>
      <c r="F299" s="12">
        <v>2.5299999999999998</v>
      </c>
      <c r="G299" s="13">
        <v>4.57</v>
      </c>
      <c r="H299">
        <f t="shared" si="20"/>
        <v>0</v>
      </c>
      <c r="I299">
        <f t="shared" si="21"/>
        <v>0</v>
      </c>
      <c r="J299">
        <f t="shared" si="22"/>
        <v>0</v>
      </c>
      <c r="K299">
        <f t="shared" si="23"/>
        <v>0</v>
      </c>
    </row>
    <row r="300" spans="1:11" x14ac:dyDescent="0.25">
      <c r="A300" s="6">
        <v>44860</v>
      </c>
      <c r="B300" s="7">
        <v>0.30474537037037036</v>
      </c>
      <c r="C300" s="7">
        <v>0.72298611111111111</v>
      </c>
      <c r="D300" s="8">
        <v>6</v>
      </c>
      <c r="E300" s="8">
        <v>2.06</v>
      </c>
      <c r="F300" s="8">
        <v>1.06</v>
      </c>
      <c r="G300" s="9">
        <v>3.84</v>
      </c>
      <c r="H300">
        <f t="shared" si="20"/>
        <v>0</v>
      </c>
      <c r="I300">
        <f t="shared" si="21"/>
        <v>0</v>
      </c>
      <c r="J300">
        <f t="shared" si="22"/>
        <v>0</v>
      </c>
      <c r="K300">
        <f t="shared" si="23"/>
        <v>0</v>
      </c>
    </row>
    <row r="301" spans="1:11" x14ac:dyDescent="0.25">
      <c r="A301" s="10">
        <v>44861</v>
      </c>
      <c r="B301" s="11">
        <v>0.30599537037037039</v>
      </c>
      <c r="C301" s="11">
        <v>0.72159722222222222</v>
      </c>
      <c r="D301" s="12">
        <v>1</v>
      </c>
      <c r="E301" s="12">
        <v>8.7799999999999994</v>
      </c>
      <c r="F301" s="12">
        <v>2.09</v>
      </c>
      <c r="G301" s="13">
        <v>1.58</v>
      </c>
      <c r="H301">
        <f t="shared" si="20"/>
        <v>1</v>
      </c>
      <c r="I301">
        <f t="shared" si="21"/>
        <v>1</v>
      </c>
      <c r="J301">
        <f t="shared" si="22"/>
        <v>1</v>
      </c>
      <c r="K301">
        <f t="shared" si="23"/>
        <v>1</v>
      </c>
    </row>
    <row r="302" spans="1:11" x14ac:dyDescent="0.25">
      <c r="A302" s="6">
        <v>44862</v>
      </c>
      <c r="B302" s="7">
        <v>0.30724537037037036</v>
      </c>
      <c r="C302" s="7">
        <v>0.72023148148148153</v>
      </c>
      <c r="D302" s="8">
        <v>1</v>
      </c>
      <c r="E302" s="8">
        <v>8.06</v>
      </c>
      <c r="F302" s="8">
        <v>1.98</v>
      </c>
      <c r="G302" s="9">
        <v>1.08</v>
      </c>
      <c r="H302">
        <f t="shared" si="20"/>
        <v>1</v>
      </c>
      <c r="I302">
        <f t="shared" si="21"/>
        <v>0</v>
      </c>
      <c r="J302">
        <f t="shared" si="22"/>
        <v>0</v>
      </c>
      <c r="K302">
        <f t="shared" si="23"/>
        <v>0</v>
      </c>
    </row>
    <row r="303" spans="1:11" x14ac:dyDescent="0.25">
      <c r="A303" s="10">
        <v>44863</v>
      </c>
      <c r="B303" s="11">
        <v>0.30849537037037039</v>
      </c>
      <c r="C303" s="11">
        <v>0.71888888888888891</v>
      </c>
      <c r="D303" s="12">
        <v>4</v>
      </c>
      <c r="E303" s="12">
        <v>4.7300000000000004</v>
      </c>
      <c r="F303" s="12">
        <v>3.79</v>
      </c>
      <c r="G303" s="13">
        <v>3.08</v>
      </c>
      <c r="H303">
        <f t="shared" si="20"/>
        <v>0</v>
      </c>
      <c r="I303">
        <f t="shared" si="21"/>
        <v>0</v>
      </c>
      <c r="J303">
        <f t="shared" si="22"/>
        <v>0</v>
      </c>
      <c r="K303">
        <f t="shared" si="23"/>
        <v>0</v>
      </c>
    </row>
    <row r="304" spans="1:11" x14ac:dyDescent="0.25">
      <c r="A304" s="6">
        <v>44864</v>
      </c>
      <c r="B304" s="7">
        <v>0.26807870370370368</v>
      </c>
      <c r="C304" s="7">
        <v>0.67587962962962966</v>
      </c>
      <c r="D304" s="8">
        <v>3</v>
      </c>
      <c r="E304" s="8">
        <v>5.33</v>
      </c>
      <c r="F304" s="8">
        <v>2.98</v>
      </c>
      <c r="G304" s="9">
        <v>3.05</v>
      </c>
      <c r="H304">
        <f t="shared" si="20"/>
        <v>1</v>
      </c>
      <c r="I304">
        <f t="shared" si="21"/>
        <v>1</v>
      </c>
      <c r="J304">
        <f t="shared" si="22"/>
        <v>1</v>
      </c>
      <c r="K304">
        <f t="shared" si="23"/>
        <v>1</v>
      </c>
    </row>
    <row r="305" spans="1:11" x14ac:dyDescent="0.25">
      <c r="A305" s="10">
        <v>44865</v>
      </c>
      <c r="B305" s="11">
        <v>0.26932870370370371</v>
      </c>
      <c r="C305" s="11">
        <v>0.67457175925925927</v>
      </c>
      <c r="D305" s="12">
        <v>6</v>
      </c>
      <c r="E305" s="12">
        <v>2.13</v>
      </c>
      <c r="F305" s="12">
        <v>1.67</v>
      </c>
      <c r="G305" s="13">
        <v>4.21</v>
      </c>
      <c r="H305">
        <f t="shared" si="20"/>
        <v>0</v>
      </c>
      <c r="I305">
        <f t="shared" si="21"/>
        <v>0</v>
      </c>
      <c r="J305">
        <f t="shared" si="22"/>
        <v>0</v>
      </c>
      <c r="K305">
        <f t="shared" si="23"/>
        <v>0</v>
      </c>
    </row>
    <row r="306" spans="1:11" x14ac:dyDescent="0.25">
      <c r="A306" s="6">
        <v>44866</v>
      </c>
      <c r="B306" s="7">
        <v>0.27057870370370368</v>
      </c>
      <c r="C306" s="7">
        <v>0.67327546296296292</v>
      </c>
      <c r="D306" s="8">
        <v>8</v>
      </c>
      <c r="E306" s="8">
        <v>1.23</v>
      </c>
      <c r="F306" s="8">
        <v>0.56999999999999995</v>
      </c>
      <c r="G306" s="9">
        <v>5.08</v>
      </c>
      <c r="H306">
        <f t="shared" si="20"/>
        <v>0</v>
      </c>
      <c r="I306">
        <f t="shared" si="21"/>
        <v>0</v>
      </c>
      <c r="J306">
        <f t="shared" si="22"/>
        <v>0</v>
      </c>
      <c r="K306">
        <f t="shared" si="23"/>
        <v>0</v>
      </c>
    </row>
    <row r="307" spans="1:11" x14ac:dyDescent="0.25">
      <c r="A307" s="10">
        <v>44867</v>
      </c>
      <c r="B307" s="11">
        <v>0.27184027777777775</v>
      </c>
      <c r="C307" s="11">
        <v>0.67199074074074072</v>
      </c>
      <c r="D307" s="12">
        <v>3</v>
      </c>
      <c r="E307" s="12">
        <v>5.84</v>
      </c>
      <c r="F307" s="12">
        <v>4.32</v>
      </c>
      <c r="G307" s="13">
        <v>2.95</v>
      </c>
      <c r="H307">
        <f t="shared" si="20"/>
        <v>1</v>
      </c>
      <c r="I307">
        <f t="shared" si="21"/>
        <v>1</v>
      </c>
      <c r="J307">
        <f t="shared" si="22"/>
        <v>1</v>
      </c>
      <c r="K307">
        <f t="shared" si="23"/>
        <v>1</v>
      </c>
    </row>
    <row r="308" spans="1:11" x14ac:dyDescent="0.25">
      <c r="A308" s="6">
        <v>44868</v>
      </c>
      <c r="B308" s="7">
        <v>0.27309027777777778</v>
      </c>
      <c r="C308" s="7">
        <v>0.67072916666666671</v>
      </c>
      <c r="D308" s="8">
        <v>3</v>
      </c>
      <c r="E308" s="8">
        <v>4.55</v>
      </c>
      <c r="F308" s="8">
        <v>3.94</v>
      </c>
      <c r="G308" s="9">
        <v>6.57</v>
      </c>
      <c r="H308">
        <f t="shared" si="20"/>
        <v>1</v>
      </c>
      <c r="I308">
        <f t="shared" si="21"/>
        <v>0</v>
      </c>
      <c r="J308">
        <f t="shared" si="22"/>
        <v>0</v>
      </c>
      <c r="K308">
        <f t="shared" si="23"/>
        <v>0</v>
      </c>
    </row>
    <row r="309" spans="1:11" x14ac:dyDescent="0.25">
      <c r="A309" s="10">
        <v>44869</v>
      </c>
      <c r="B309" s="11">
        <v>0.27434027777777775</v>
      </c>
      <c r="C309" s="11">
        <v>0.66947916666666663</v>
      </c>
      <c r="D309" s="12">
        <v>3</v>
      </c>
      <c r="E309" s="12">
        <v>4.7</v>
      </c>
      <c r="F309" s="12">
        <v>3.64</v>
      </c>
      <c r="G309" s="13">
        <v>4.21</v>
      </c>
      <c r="H309">
        <f t="shared" si="20"/>
        <v>1</v>
      </c>
      <c r="I309">
        <f t="shared" si="21"/>
        <v>1</v>
      </c>
      <c r="J309">
        <f t="shared" si="22"/>
        <v>1</v>
      </c>
      <c r="K309">
        <f t="shared" si="23"/>
        <v>1</v>
      </c>
    </row>
    <row r="310" spans="1:11" x14ac:dyDescent="0.25">
      <c r="A310" s="6">
        <v>44870</v>
      </c>
      <c r="B310" s="7">
        <v>0.27560185185185188</v>
      </c>
      <c r="C310" s="7">
        <v>0.66826388888888888</v>
      </c>
      <c r="D310" s="8">
        <v>2</v>
      </c>
      <c r="E310" s="8">
        <v>5.19</v>
      </c>
      <c r="F310" s="8">
        <v>3.65</v>
      </c>
      <c r="G310" s="9">
        <v>5.32</v>
      </c>
      <c r="H310">
        <f t="shared" si="20"/>
        <v>1</v>
      </c>
      <c r="I310">
        <f t="shared" si="21"/>
        <v>1</v>
      </c>
      <c r="J310">
        <f t="shared" si="22"/>
        <v>1</v>
      </c>
      <c r="K310">
        <f t="shared" si="23"/>
        <v>2</v>
      </c>
    </row>
    <row r="311" spans="1:11" x14ac:dyDescent="0.25">
      <c r="A311" s="10">
        <v>44871</v>
      </c>
      <c r="B311" s="11">
        <v>0.27685185185185185</v>
      </c>
      <c r="C311" s="11">
        <v>0.66706018518518517</v>
      </c>
      <c r="D311" s="12">
        <v>1</v>
      </c>
      <c r="E311" s="12">
        <v>7.75</v>
      </c>
      <c r="F311" s="12">
        <v>3.84</v>
      </c>
      <c r="G311" s="13">
        <v>3.65</v>
      </c>
      <c r="H311">
        <f t="shared" si="20"/>
        <v>1</v>
      </c>
      <c r="I311">
        <f t="shared" si="21"/>
        <v>1</v>
      </c>
      <c r="J311">
        <f t="shared" si="22"/>
        <v>1</v>
      </c>
      <c r="K311">
        <f t="shared" si="23"/>
        <v>3</v>
      </c>
    </row>
    <row r="312" spans="1:11" x14ac:dyDescent="0.25">
      <c r="A312" s="6">
        <v>44872</v>
      </c>
      <c r="B312" s="7">
        <v>0.27810185185185188</v>
      </c>
      <c r="C312" s="7">
        <v>0.66587962962962965</v>
      </c>
      <c r="D312" s="8">
        <v>4</v>
      </c>
      <c r="E312" s="8">
        <v>4.07</v>
      </c>
      <c r="F312" s="8">
        <v>3.21</v>
      </c>
      <c r="G312" s="9">
        <v>3.48</v>
      </c>
      <c r="H312">
        <f t="shared" si="20"/>
        <v>0</v>
      </c>
      <c r="I312">
        <f t="shared" si="21"/>
        <v>0</v>
      </c>
      <c r="J312">
        <f t="shared" si="22"/>
        <v>0</v>
      </c>
      <c r="K312">
        <f t="shared" si="23"/>
        <v>0</v>
      </c>
    </row>
    <row r="313" spans="1:11" x14ac:dyDescent="0.25">
      <c r="A313" s="10">
        <v>44873</v>
      </c>
      <c r="B313" s="11">
        <v>0.27935185185185185</v>
      </c>
      <c r="C313" s="11">
        <v>0.66471064814814818</v>
      </c>
      <c r="D313" s="12">
        <v>3</v>
      </c>
      <c r="E313" s="12">
        <v>5.63</v>
      </c>
      <c r="F313" s="12">
        <v>4.2300000000000004</v>
      </c>
      <c r="G313" s="13">
        <v>4.6100000000000003</v>
      </c>
      <c r="H313">
        <f t="shared" si="20"/>
        <v>1</v>
      </c>
      <c r="I313">
        <f t="shared" si="21"/>
        <v>1</v>
      </c>
      <c r="J313">
        <f t="shared" si="22"/>
        <v>1</v>
      </c>
      <c r="K313">
        <f t="shared" si="23"/>
        <v>1</v>
      </c>
    </row>
    <row r="314" spans="1:11" x14ac:dyDescent="0.25">
      <c r="A314" s="6">
        <v>44874</v>
      </c>
      <c r="B314" s="7">
        <v>0.28059027777777779</v>
      </c>
      <c r="C314" s="7">
        <v>0.66357638888888892</v>
      </c>
      <c r="D314" s="8">
        <v>6</v>
      </c>
      <c r="E314" s="8">
        <v>3.14</v>
      </c>
      <c r="F314" s="8">
        <v>1.65</v>
      </c>
      <c r="G314" s="9">
        <v>2.96</v>
      </c>
      <c r="H314">
        <f t="shared" si="20"/>
        <v>0</v>
      </c>
      <c r="I314">
        <f t="shared" si="21"/>
        <v>0</v>
      </c>
      <c r="J314">
        <f t="shared" si="22"/>
        <v>0</v>
      </c>
      <c r="K314">
        <f t="shared" si="23"/>
        <v>0</v>
      </c>
    </row>
    <row r="315" spans="1:11" x14ac:dyDescent="0.25">
      <c r="A315" s="10">
        <v>44875</v>
      </c>
      <c r="B315" s="11">
        <v>0.28184027777777776</v>
      </c>
      <c r="C315" s="11">
        <v>0.66246527777777775</v>
      </c>
      <c r="D315" s="12">
        <v>0</v>
      </c>
      <c r="E315" s="12">
        <v>11.93</v>
      </c>
      <c r="F315" s="12">
        <v>6.46</v>
      </c>
      <c r="G315" s="13">
        <v>4.0599999999999996</v>
      </c>
      <c r="H315">
        <f t="shared" si="20"/>
        <v>1</v>
      </c>
      <c r="I315">
        <f t="shared" si="21"/>
        <v>1</v>
      </c>
      <c r="J315">
        <f t="shared" si="22"/>
        <v>1</v>
      </c>
      <c r="K315">
        <f t="shared" si="23"/>
        <v>1</v>
      </c>
    </row>
    <row r="316" spans="1:11" x14ac:dyDescent="0.25">
      <c r="A316" s="6">
        <v>44876</v>
      </c>
      <c r="B316" s="7">
        <v>0.28307870370370369</v>
      </c>
      <c r="C316" s="7">
        <v>0.66136574074074073</v>
      </c>
      <c r="D316" s="8">
        <v>4</v>
      </c>
      <c r="E316" s="8">
        <v>5.15</v>
      </c>
      <c r="F316" s="8">
        <v>2.4900000000000002</v>
      </c>
      <c r="G316" s="9">
        <v>3.84</v>
      </c>
      <c r="H316">
        <f t="shared" si="20"/>
        <v>0</v>
      </c>
      <c r="I316">
        <f t="shared" si="21"/>
        <v>0</v>
      </c>
      <c r="J316">
        <f t="shared" si="22"/>
        <v>0</v>
      </c>
      <c r="K316">
        <f t="shared" si="23"/>
        <v>0</v>
      </c>
    </row>
    <row r="317" spans="1:11" x14ac:dyDescent="0.25">
      <c r="A317" s="10">
        <v>44877</v>
      </c>
      <c r="B317" s="11">
        <v>0.28430555555555553</v>
      </c>
      <c r="C317" s="11">
        <v>0.66030092592592593</v>
      </c>
      <c r="D317" s="12">
        <v>3</v>
      </c>
      <c r="E317" s="12">
        <v>4.75</v>
      </c>
      <c r="F317" s="12">
        <v>3.49</v>
      </c>
      <c r="G317" s="13">
        <v>5.09</v>
      </c>
      <c r="H317">
        <f t="shared" si="20"/>
        <v>1</v>
      </c>
      <c r="I317">
        <f t="shared" si="21"/>
        <v>0</v>
      </c>
      <c r="J317">
        <f t="shared" si="22"/>
        <v>0</v>
      </c>
      <c r="K317">
        <f t="shared" si="23"/>
        <v>0</v>
      </c>
    </row>
    <row r="318" spans="1:11" x14ac:dyDescent="0.25">
      <c r="A318" s="6">
        <v>44878</v>
      </c>
      <c r="B318" s="7">
        <v>0.28554398148148147</v>
      </c>
      <c r="C318" s="7">
        <v>0.65925925925925921</v>
      </c>
      <c r="D318" s="8">
        <v>3</v>
      </c>
      <c r="E318" s="8">
        <v>4.16</v>
      </c>
      <c r="F318" s="8">
        <v>3.02</v>
      </c>
      <c r="G318" s="9">
        <v>4.1900000000000004</v>
      </c>
      <c r="H318">
        <f t="shared" si="20"/>
        <v>1</v>
      </c>
      <c r="I318">
        <f t="shared" si="21"/>
        <v>0</v>
      </c>
      <c r="J318">
        <f t="shared" si="22"/>
        <v>0</v>
      </c>
      <c r="K318">
        <f t="shared" si="23"/>
        <v>0</v>
      </c>
    </row>
    <row r="319" spans="1:11" x14ac:dyDescent="0.25">
      <c r="A319" s="10">
        <v>44879</v>
      </c>
      <c r="B319" s="11">
        <v>0.28675925925925927</v>
      </c>
      <c r="C319" s="11">
        <v>0.65824074074074079</v>
      </c>
      <c r="D319" s="12">
        <v>2</v>
      </c>
      <c r="E319" s="12">
        <v>5.19</v>
      </c>
      <c r="F319" s="12">
        <v>2.94</v>
      </c>
      <c r="G319" s="13">
        <v>4.9400000000000004</v>
      </c>
      <c r="H319">
        <f t="shared" si="20"/>
        <v>1</v>
      </c>
      <c r="I319">
        <f t="shared" si="21"/>
        <v>1</v>
      </c>
      <c r="J319">
        <f t="shared" si="22"/>
        <v>1</v>
      </c>
      <c r="K319">
        <f t="shared" si="23"/>
        <v>1</v>
      </c>
    </row>
    <row r="320" spans="1:11" x14ac:dyDescent="0.25">
      <c r="A320" s="6">
        <v>44880</v>
      </c>
      <c r="B320" s="7">
        <v>0.28797453703703701</v>
      </c>
      <c r="C320" s="7">
        <v>0.65725694444444449</v>
      </c>
      <c r="D320" s="8">
        <v>8</v>
      </c>
      <c r="E320" s="8">
        <v>1.38</v>
      </c>
      <c r="F320" s="8">
        <v>0.4</v>
      </c>
      <c r="G320" s="9">
        <v>6.48</v>
      </c>
      <c r="H320">
        <f t="shared" si="20"/>
        <v>0</v>
      </c>
      <c r="I320">
        <f t="shared" si="21"/>
        <v>0</v>
      </c>
      <c r="J320">
        <f t="shared" si="22"/>
        <v>0</v>
      </c>
      <c r="K320">
        <f t="shared" si="23"/>
        <v>0</v>
      </c>
    </row>
    <row r="321" spans="1:11" x14ac:dyDescent="0.25">
      <c r="A321" s="10">
        <v>44881</v>
      </c>
      <c r="B321" s="11">
        <v>0.28918981481481482</v>
      </c>
      <c r="C321" s="11">
        <v>0.65628472222222223</v>
      </c>
      <c r="D321" s="12">
        <v>8</v>
      </c>
      <c r="E321" s="12">
        <v>1.53</v>
      </c>
      <c r="F321" s="12">
        <v>0.23</v>
      </c>
      <c r="G321" s="13">
        <v>3.95</v>
      </c>
      <c r="H321">
        <f t="shared" si="20"/>
        <v>1</v>
      </c>
      <c r="I321">
        <f t="shared" si="21"/>
        <v>1</v>
      </c>
      <c r="J321">
        <f t="shared" si="22"/>
        <v>1</v>
      </c>
      <c r="K321">
        <f t="shared" si="23"/>
        <v>1</v>
      </c>
    </row>
    <row r="322" spans="1:11" x14ac:dyDescent="0.25">
      <c r="A322" s="6">
        <v>44882</v>
      </c>
      <c r="B322" s="7">
        <v>0.29038194444444443</v>
      </c>
      <c r="C322" s="7">
        <v>0.65534722222222219</v>
      </c>
      <c r="D322" s="8">
        <v>2</v>
      </c>
      <c r="E322" s="8">
        <v>4.1900000000000004</v>
      </c>
      <c r="F322" s="8">
        <v>1.92</v>
      </c>
      <c r="G322" s="9">
        <v>3.24</v>
      </c>
      <c r="H322">
        <f t="shared" si="20"/>
        <v>1</v>
      </c>
      <c r="I322">
        <f t="shared" si="21"/>
        <v>1</v>
      </c>
      <c r="J322">
        <f t="shared" si="22"/>
        <v>1</v>
      </c>
      <c r="K322">
        <f t="shared" si="23"/>
        <v>2</v>
      </c>
    </row>
    <row r="323" spans="1:11" x14ac:dyDescent="0.25">
      <c r="A323" s="10">
        <v>44883</v>
      </c>
      <c r="B323" s="11">
        <v>0.2915740740740741</v>
      </c>
      <c r="C323" s="11">
        <v>0.6544444444444445</v>
      </c>
      <c r="D323" s="12">
        <v>5</v>
      </c>
      <c r="E323" s="12">
        <v>3.63</v>
      </c>
      <c r="F323" s="12">
        <v>1.48</v>
      </c>
      <c r="G323" s="13">
        <v>2.96</v>
      </c>
      <c r="H323">
        <f t="shared" si="20"/>
        <v>0</v>
      </c>
      <c r="I323">
        <f t="shared" si="21"/>
        <v>0</v>
      </c>
      <c r="J323">
        <f t="shared" si="22"/>
        <v>0</v>
      </c>
      <c r="K323">
        <f t="shared" si="23"/>
        <v>0</v>
      </c>
    </row>
    <row r="324" spans="1:11" x14ac:dyDescent="0.25">
      <c r="A324" s="6">
        <v>44884</v>
      </c>
      <c r="B324" s="7">
        <v>0.29276620370370371</v>
      </c>
      <c r="C324" s="7">
        <v>0.65356481481481477</v>
      </c>
      <c r="D324" s="8">
        <v>5</v>
      </c>
      <c r="E324" s="8">
        <v>3.6</v>
      </c>
      <c r="F324" s="8">
        <v>2.06</v>
      </c>
      <c r="G324" s="9">
        <v>2.72</v>
      </c>
      <c r="H324">
        <f t="shared" ref="H324:H366" si="24">IF(D324&lt;=D323,1,0)</f>
        <v>1</v>
      </c>
      <c r="I324">
        <f t="shared" ref="I324:I366" si="25">IF(E324&gt;=E323,1,0)</f>
        <v>0</v>
      </c>
      <c r="J324">
        <f t="shared" ref="J324:J366" si="26">IF(AND(H324=1,I324=1),1,0)</f>
        <v>0</v>
      </c>
      <c r="K324">
        <f t="shared" si="23"/>
        <v>0</v>
      </c>
    </row>
    <row r="325" spans="1:11" x14ac:dyDescent="0.25">
      <c r="A325" s="10">
        <v>44885</v>
      </c>
      <c r="B325" s="11">
        <v>0.29393518518518519</v>
      </c>
      <c r="C325" s="11">
        <v>0.65270833333333333</v>
      </c>
      <c r="D325" s="12">
        <v>2</v>
      </c>
      <c r="E325" s="12">
        <v>6.14</v>
      </c>
      <c r="F325" s="12">
        <v>5.07</v>
      </c>
      <c r="G325" s="13">
        <v>3.94</v>
      </c>
      <c r="H325">
        <f t="shared" si="24"/>
        <v>1</v>
      </c>
      <c r="I325">
        <f t="shared" si="25"/>
        <v>1</v>
      </c>
      <c r="J325">
        <f t="shared" si="26"/>
        <v>1</v>
      </c>
      <c r="K325">
        <f t="shared" ref="K325:K366" si="27">IF(J325=0,0,J325+K324)</f>
        <v>1</v>
      </c>
    </row>
    <row r="326" spans="1:11" x14ac:dyDescent="0.25">
      <c r="A326" s="6">
        <v>44886</v>
      </c>
      <c r="B326" s="7">
        <v>0.29509259259259257</v>
      </c>
      <c r="C326" s="7">
        <v>0.65188657407407402</v>
      </c>
      <c r="D326" s="8">
        <v>5</v>
      </c>
      <c r="E326" s="8">
        <v>3.16</v>
      </c>
      <c r="F326" s="8">
        <v>2.11</v>
      </c>
      <c r="G326" s="9">
        <v>4.08</v>
      </c>
      <c r="H326">
        <f t="shared" si="24"/>
        <v>0</v>
      </c>
      <c r="I326">
        <f t="shared" si="25"/>
        <v>0</v>
      </c>
      <c r="J326">
        <f t="shared" si="26"/>
        <v>0</v>
      </c>
      <c r="K326">
        <f t="shared" si="27"/>
        <v>0</v>
      </c>
    </row>
    <row r="327" spans="1:11" x14ac:dyDescent="0.25">
      <c r="A327" s="10">
        <v>44887</v>
      </c>
      <c r="B327" s="11">
        <v>0.29623842592592592</v>
      </c>
      <c r="C327" s="11">
        <v>0.65109953703703705</v>
      </c>
      <c r="D327" s="12">
        <v>4</v>
      </c>
      <c r="E327" s="12">
        <v>4.0999999999999996</v>
      </c>
      <c r="F327" s="12">
        <v>3.41</v>
      </c>
      <c r="G327" s="13">
        <v>4.6100000000000003</v>
      </c>
      <c r="H327">
        <f t="shared" si="24"/>
        <v>1</v>
      </c>
      <c r="I327">
        <f t="shared" si="25"/>
        <v>1</v>
      </c>
      <c r="J327">
        <f t="shared" si="26"/>
        <v>1</v>
      </c>
      <c r="K327">
        <f t="shared" si="27"/>
        <v>1</v>
      </c>
    </row>
    <row r="328" spans="1:11" x14ac:dyDescent="0.25">
      <c r="A328" s="6">
        <v>44888</v>
      </c>
      <c r="B328" s="7">
        <v>0.29737268518518517</v>
      </c>
      <c r="C328" s="7">
        <v>0.65034722222222219</v>
      </c>
      <c r="D328" s="8">
        <v>7</v>
      </c>
      <c r="E328" s="8">
        <v>2.91</v>
      </c>
      <c r="F328" s="8">
        <v>1.06</v>
      </c>
      <c r="G328" s="9">
        <v>5.07</v>
      </c>
      <c r="H328">
        <f t="shared" si="24"/>
        <v>0</v>
      </c>
      <c r="I328">
        <f t="shared" si="25"/>
        <v>0</v>
      </c>
      <c r="J328">
        <f t="shared" si="26"/>
        <v>0</v>
      </c>
      <c r="K328">
        <f t="shared" si="27"/>
        <v>0</v>
      </c>
    </row>
    <row r="329" spans="1:11" x14ac:dyDescent="0.25">
      <c r="A329" s="10">
        <v>44889</v>
      </c>
      <c r="B329" s="11">
        <v>0.29849537037037038</v>
      </c>
      <c r="C329" s="11">
        <v>0.64961805555555552</v>
      </c>
      <c r="D329" s="12">
        <v>6</v>
      </c>
      <c r="E329" s="12">
        <v>3.18</v>
      </c>
      <c r="F329" s="12">
        <v>1.37</v>
      </c>
      <c r="G329" s="13">
        <v>4.16</v>
      </c>
      <c r="H329">
        <f t="shared" si="24"/>
        <v>1</v>
      </c>
      <c r="I329">
        <f t="shared" si="25"/>
        <v>1</v>
      </c>
      <c r="J329">
        <f t="shared" si="26"/>
        <v>1</v>
      </c>
      <c r="K329">
        <f t="shared" si="27"/>
        <v>1</v>
      </c>
    </row>
    <row r="330" spans="1:11" x14ac:dyDescent="0.25">
      <c r="A330" s="6">
        <v>44890</v>
      </c>
      <c r="B330" s="7">
        <v>0.2996064814814815</v>
      </c>
      <c r="C330" s="7">
        <v>0.64892361111111108</v>
      </c>
      <c r="D330" s="8">
        <v>7</v>
      </c>
      <c r="E330" s="8">
        <v>2.52</v>
      </c>
      <c r="F330" s="8">
        <v>1.46</v>
      </c>
      <c r="G330" s="9">
        <v>5.24</v>
      </c>
      <c r="H330">
        <f t="shared" si="24"/>
        <v>0</v>
      </c>
      <c r="I330">
        <f t="shared" si="25"/>
        <v>0</v>
      </c>
      <c r="J330">
        <f t="shared" si="26"/>
        <v>0</v>
      </c>
      <c r="K330">
        <f t="shared" si="27"/>
        <v>0</v>
      </c>
    </row>
    <row r="331" spans="1:11" x14ac:dyDescent="0.25">
      <c r="A331" s="10">
        <v>44891</v>
      </c>
      <c r="B331" s="11">
        <v>0.30069444444444443</v>
      </c>
      <c r="C331" s="11">
        <v>0.64826388888888886</v>
      </c>
      <c r="D331" s="12">
        <v>6</v>
      </c>
      <c r="E331" s="12">
        <v>3.85</v>
      </c>
      <c r="F331" s="12">
        <v>1.1599999999999999</v>
      </c>
      <c r="G331" s="13">
        <v>6.08</v>
      </c>
      <c r="H331">
        <f t="shared" si="24"/>
        <v>1</v>
      </c>
      <c r="I331">
        <f t="shared" si="25"/>
        <v>1</v>
      </c>
      <c r="J331">
        <f t="shared" si="26"/>
        <v>1</v>
      </c>
      <c r="K331">
        <f t="shared" si="27"/>
        <v>1</v>
      </c>
    </row>
    <row r="332" spans="1:11" x14ac:dyDescent="0.25">
      <c r="A332" s="6">
        <v>44892</v>
      </c>
      <c r="B332" s="7">
        <v>0.30177083333333332</v>
      </c>
      <c r="C332" s="7">
        <v>0.64763888888888888</v>
      </c>
      <c r="D332" s="8">
        <v>8</v>
      </c>
      <c r="E332" s="8">
        <v>1.84</v>
      </c>
      <c r="F332" s="8">
        <v>0.47</v>
      </c>
      <c r="G332" s="9">
        <v>4.66</v>
      </c>
      <c r="H332">
        <f t="shared" si="24"/>
        <v>0</v>
      </c>
      <c r="I332">
        <f t="shared" si="25"/>
        <v>0</v>
      </c>
      <c r="J332">
        <f t="shared" si="26"/>
        <v>0</v>
      </c>
      <c r="K332">
        <f t="shared" si="27"/>
        <v>0</v>
      </c>
    </row>
    <row r="333" spans="1:11" x14ac:dyDescent="0.25">
      <c r="A333" s="10">
        <v>44893</v>
      </c>
      <c r="B333" s="11">
        <v>0.30282407407407408</v>
      </c>
      <c r="C333" s="11">
        <v>0.64704861111111112</v>
      </c>
      <c r="D333" s="12">
        <v>8</v>
      </c>
      <c r="E333" s="12">
        <v>1.59</v>
      </c>
      <c r="F333" s="12">
        <v>0.42</v>
      </c>
      <c r="G333" s="13">
        <v>4.9800000000000004</v>
      </c>
      <c r="H333">
        <f t="shared" si="24"/>
        <v>1</v>
      </c>
      <c r="I333">
        <f t="shared" si="25"/>
        <v>0</v>
      </c>
      <c r="J333">
        <f t="shared" si="26"/>
        <v>0</v>
      </c>
      <c r="K333">
        <f t="shared" si="27"/>
        <v>0</v>
      </c>
    </row>
    <row r="334" spans="1:11" x14ac:dyDescent="0.25">
      <c r="A334" s="6">
        <v>44894</v>
      </c>
      <c r="B334" s="7">
        <v>0.30385416666666665</v>
      </c>
      <c r="C334" s="7">
        <v>0.64649305555555558</v>
      </c>
      <c r="D334" s="8">
        <v>8</v>
      </c>
      <c r="E334" s="8">
        <v>1.34</v>
      </c>
      <c r="F334" s="8">
        <v>0.27</v>
      </c>
      <c r="G334" s="9">
        <v>3.95</v>
      </c>
      <c r="H334">
        <f t="shared" si="24"/>
        <v>1</v>
      </c>
      <c r="I334">
        <f t="shared" si="25"/>
        <v>0</v>
      </c>
      <c r="J334">
        <f t="shared" si="26"/>
        <v>0</v>
      </c>
      <c r="K334">
        <f t="shared" si="27"/>
        <v>0</v>
      </c>
    </row>
    <row r="335" spans="1:11" x14ac:dyDescent="0.25">
      <c r="A335" s="10">
        <v>44895</v>
      </c>
      <c r="B335" s="11">
        <v>0.30487268518518518</v>
      </c>
      <c r="C335" s="11">
        <v>0.64597222222222217</v>
      </c>
      <c r="D335" s="12">
        <v>8</v>
      </c>
      <c r="E335" s="12">
        <v>1.1399999999999999</v>
      </c>
      <c r="F335" s="12">
        <v>0</v>
      </c>
      <c r="G335" s="13">
        <v>7.02</v>
      </c>
      <c r="H335">
        <f t="shared" si="24"/>
        <v>1</v>
      </c>
      <c r="I335">
        <f t="shared" si="25"/>
        <v>0</v>
      </c>
      <c r="J335">
        <f t="shared" si="26"/>
        <v>0</v>
      </c>
      <c r="K335">
        <f t="shared" si="27"/>
        <v>0</v>
      </c>
    </row>
    <row r="336" spans="1:11" x14ac:dyDescent="0.25">
      <c r="A336" s="6">
        <v>44896</v>
      </c>
      <c r="B336" s="7">
        <v>0.30586805555555557</v>
      </c>
      <c r="C336" s="7">
        <v>0.64549768518518513</v>
      </c>
      <c r="D336" s="8">
        <v>7</v>
      </c>
      <c r="E336" s="8">
        <v>2.4900000000000002</v>
      </c>
      <c r="F336" s="8">
        <v>1.06</v>
      </c>
      <c r="G336" s="9">
        <v>6.09</v>
      </c>
      <c r="H336">
        <f t="shared" si="24"/>
        <v>1</v>
      </c>
      <c r="I336">
        <f t="shared" si="25"/>
        <v>1</v>
      </c>
      <c r="J336">
        <f t="shared" si="26"/>
        <v>1</v>
      </c>
      <c r="K336">
        <f t="shared" si="27"/>
        <v>1</v>
      </c>
    </row>
    <row r="337" spans="1:11" x14ac:dyDescent="0.25">
      <c r="A337" s="10">
        <v>44897</v>
      </c>
      <c r="B337" s="11">
        <v>0.30684027777777778</v>
      </c>
      <c r="C337" s="11">
        <v>0.64504629629629628</v>
      </c>
      <c r="D337" s="12">
        <v>6</v>
      </c>
      <c r="E337" s="12">
        <v>2.37</v>
      </c>
      <c r="F337" s="12">
        <v>1.6</v>
      </c>
      <c r="G337" s="13">
        <v>5.87</v>
      </c>
      <c r="H337">
        <f t="shared" si="24"/>
        <v>1</v>
      </c>
      <c r="I337">
        <f t="shared" si="25"/>
        <v>0</v>
      </c>
      <c r="J337">
        <f t="shared" si="26"/>
        <v>0</v>
      </c>
      <c r="K337">
        <f t="shared" si="27"/>
        <v>0</v>
      </c>
    </row>
    <row r="338" spans="1:11" x14ac:dyDescent="0.25">
      <c r="A338" s="6">
        <v>44898</v>
      </c>
      <c r="B338" s="7">
        <v>0.30778935185185186</v>
      </c>
      <c r="C338" s="7">
        <v>0.6446412037037037</v>
      </c>
      <c r="D338" s="8">
        <v>5</v>
      </c>
      <c r="E338" s="8">
        <v>3.36</v>
      </c>
      <c r="F338" s="8">
        <v>2.41</v>
      </c>
      <c r="G338" s="9">
        <v>4.95</v>
      </c>
      <c r="H338">
        <f t="shared" si="24"/>
        <v>1</v>
      </c>
      <c r="I338">
        <f t="shared" si="25"/>
        <v>1</v>
      </c>
      <c r="J338">
        <f t="shared" si="26"/>
        <v>1</v>
      </c>
      <c r="K338">
        <f t="shared" si="27"/>
        <v>1</v>
      </c>
    </row>
    <row r="339" spans="1:11" x14ac:dyDescent="0.25">
      <c r="A339" s="10">
        <v>44899</v>
      </c>
      <c r="B339" s="11">
        <v>0.3087152777777778</v>
      </c>
      <c r="C339" s="11">
        <v>0.64425925925925931</v>
      </c>
      <c r="D339" s="12">
        <v>8</v>
      </c>
      <c r="E339" s="12">
        <v>1.32</v>
      </c>
      <c r="F339" s="12">
        <v>0.54</v>
      </c>
      <c r="G339" s="13">
        <v>5.16</v>
      </c>
      <c r="H339">
        <f t="shared" si="24"/>
        <v>0</v>
      </c>
      <c r="I339">
        <f t="shared" si="25"/>
        <v>0</v>
      </c>
      <c r="J339">
        <f t="shared" si="26"/>
        <v>0</v>
      </c>
      <c r="K339">
        <f t="shared" si="27"/>
        <v>0</v>
      </c>
    </row>
    <row r="340" spans="1:11" x14ac:dyDescent="0.25">
      <c r="A340" s="6">
        <v>44900</v>
      </c>
      <c r="B340" s="7">
        <v>0.30961805555555555</v>
      </c>
      <c r="C340" s="7">
        <v>0.64393518518518522</v>
      </c>
      <c r="D340" s="8">
        <v>7</v>
      </c>
      <c r="E340" s="8">
        <v>2.48</v>
      </c>
      <c r="F340" s="8">
        <v>0.49</v>
      </c>
      <c r="G340" s="9">
        <v>5.04</v>
      </c>
      <c r="H340">
        <f t="shared" si="24"/>
        <v>1</v>
      </c>
      <c r="I340">
        <f t="shared" si="25"/>
        <v>1</v>
      </c>
      <c r="J340">
        <f t="shared" si="26"/>
        <v>1</v>
      </c>
      <c r="K340">
        <f t="shared" si="27"/>
        <v>1</v>
      </c>
    </row>
    <row r="341" spans="1:11" x14ac:dyDescent="0.25">
      <c r="A341" s="10">
        <v>44901</v>
      </c>
      <c r="B341" s="11">
        <v>0.31049768518518517</v>
      </c>
      <c r="C341" s="11">
        <v>0.64363425925925921</v>
      </c>
      <c r="D341" s="12">
        <v>7</v>
      </c>
      <c r="E341" s="12">
        <v>2.2000000000000002</v>
      </c>
      <c r="F341" s="12">
        <v>0.61</v>
      </c>
      <c r="G341" s="13">
        <v>4.92</v>
      </c>
      <c r="H341">
        <f t="shared" si="24"/>
        <v>1</v>
      </c>
      <c r="I341">
        <f t="shared" si="25"/>
        <v>0</v>
      </c>
      <c r="J341">
        <f t="shared" si="26"/>
        <v>0</v>
      </c>
      <c r="K341">
        <f t="shared" si="27"/>
        <v>0</v>
      </c>
    </row>
    <row r="342" spans="1:11" x14ac:dyDescent="0.25">
      <c r="A342" s="6">
        <v>44902</v>
      </c>
      <c r="B342" s="7">
        <v>0.31134259259259262</v>
      </c>
      <c r="C342" s="7">
        <v>0.64337962962962958</v>
      </c>
      <c r="D342" s="8">
        <v>7</v>
      </c>
      <c r="E342" s="8">
        <v>2.87</v>
      </c>
      <c r="F342" s="8">
        <v>0.35</v>
      </c>
      <c r="G342" s="9">
        <v>5.03</v>
      </c>
      <c r="H342">
        <f t="shared" si="24"/>
        <v>1</v>
      </c>
      <c r="I342">
        <f t="shared" si="25"/>
        <v>1</v>
      </c>
      <c r="J342">
        <f t="shared" si="26"/>
        <v>1</v>
      </c>
      <c r="K342">
        <f t="shared" si="27"/>
        <v>1</v>
      </c>
    </row>
    <row r="343" spans="1:11" x14ac:dyDescent="0.25">
      <c r="A343" s="10">
        <v>44903</v>
      </c>
      <c r="B343" s="11">
        <v>0.31216435185185187</v>
      </c>
      <c r="C343" s="11">
        <v>0.64317129629629632</v>
      </c>
      <c r="D343" s="12">
        <v>7</v>
      </c>
      <c r="E343" s="12">
        <v>2.8</v>
      </c>
      <c r="F343" s="12">
        <v>1.24</v>
      </c>
      <c r="G343" s="13">
        <v>4.29</v>
      </c>
      <c r="H343">
        <f t="shared" si="24"/>
        <v>1</v>
      </c>
      <c r="I343">
        <f t="shared" si="25"/>
        <v>0</v>
      </c>
      <c r="J343">
        <f t="shared" si="26"/>
        <v>0</v>
      </c>
      <c r="K343">
        <f t="shared" si="27"/>
        <v>0</v>
      </c>
    </row>
    <row r="344" spans="1:11" x14ac:dyDescent="0.25">
      <c r="A344" s="6">
        <v>44904</v>
      </c>
      <c r="B344" s="7">
        <v>0.3129513888888889</v>
      </c>
      <c r="C344" s="7">
        <v>0.64298611111111115</v>
      </c>
      <c r="D344" s="8">
        <v>6</v>
      </c>
      <c r="E344" s="8">
        <v>2.95</v>
      </c>
      <c r="F344" s="8">
        <v>1.42</v>
      </c>
      <c r="G344" s="9">
        <v>4.25</v>
      </c>
      <c r="H344">
        <f t="shared" si="24"/>
        <v>1</v>
      </c>
      <c r="I344">
        <f t="shared" si="25"/>
        <v>1</v>
      </c>
      <c r="J344">
        <f t="shared" si="26"/>
        <v>1</v>
      </c>
      <c r="K344">
        <f t="shared" si="27"/>
        <v>1</v>
      </c>
    </row>
    <row r="345" spans="1:11" x14ac:dyDescent="0.25">
      <c r="A345" s="10">
        <v>44905</v>
      </c>
      <c r="B345" s="11">
        <v>0.3137152777777778</v>
      </c>
      <c r="C345" s="11">
        <v>0.64285879629629628</v>
      </c>
      <c r="D345" s="12">
        <v>6</v>
      </c>
      <c r="E345" s="12">
        <v>3.38</v>
      </c>
      <c r="F345" s="12">
        <v>1.66</v>
      </c>
      <c r="G345" s="13">
        <v>5.07</v>
      </c>
      <c r="H345">
        <f t="shared" si="24"/>
        <v>1</v>
      </c>
      <c r="I345">
        <f t="shared" si="25"/>
        <v>1</v>
      </c>
      <c r="J345">
        <f t="shared" si="26"/>
        <v>1</v>
      </c>
      <c r="K345">
        <f t="shared" si="27"/>
        <v>2</v>
      </c>
    </row>
    <row r="346" spans="1:11" x14ac:dyDescent="0.25">
      <c r="A346" s="6">
        <v>44906</v>
      </c>
      <c r="B346" s="7">
        <v>0.31444444444444447</v>
      </c>
      <c r="C346" s="7">
        <v>0.64275462962962959</v>
      </c>
      <c r="D346" s="8">
        <v>7</v>
      </c>
      <c r="E346" s="8">
        <v>2.11</v>
      </c>
      <c r="F346" s="8">
        <v>0.84</v>
      </c>
      <c r="G346" s="9">
        <v>5.38</v>
      </c>
      <c r="H346">
        <f t="shared" si="24"/>
        <v>0</v>
      </c>
      <c r="I346">
        <f t="shared" si="25"/>
        <v>0</v>
      </c>
      <c r="J346">
        <f t="shared" si="26"/>
        <v>0</v>
      </c>
      <c r="K346">
        <f t="shared" si="27"/>
        <v>0</v>
      </c>
    </row>
    <row r="347" spans="1:11" x14ac:dyDescent="0.25">
      <c r="A347" s="10">
        <v>44907</v>
      </c>
      <c r="B347" s="11">
        <v>0.31515046296296295</v>
      </c>
      <c r="C347" s="11">
        <v>0.64269675925925929</v>
      </c>
      <c r="D347" s="12">
        <v>8</v>
      </c>
      <c r="E347" s="12">
        <v>1.31</v>
      </c>
      <c r="F347" s="12">
        <v>0.05</v>
      </c>
      <c r="G347" s="13">
        <v>6.3</v>
      </c>
      <c r="H347">
        <f t="shared" si="24"/>
        <v>0</v>
      </c>
      <c r="I347">
        <f t="shared" si="25"/>
        <v>0</v>
      </c>
      <c r="J347">
        <f t="shared" si="26"/>
        <v>0</v>
      </c>
      <c r="K347">
        <f t="shared" si="27"/>
        <v>0</v>
      </c>
    </row>
    <row r="348" spans="1:11" x14ac:dyDescent="0.25">
      <c r="A348" s="6">
        <v>44908</v>
      </c>
      <c r="B348" s="7">
        <v>0.31581018518518517</v>
      </c>
      <c r="C348" s="7">
        <v>0.64268518518518514</v>
      </c>
      <c r="D348" s="8">
        <v>7</v>
      </c>
      <c r="E348" s="8">
        <v>2.0299999999999998</v>
      </c>
      <c r="F348" s="8">
        <v>1.02</v>
      </c>
      <c r="G348" s="9">
        <v>6.12</v>
      </c>
      <c r="H348">
        <f t="shared" si="24"/>
        <v>1</v>
      </c>
      <c r="I348">
        <f t="shared" si="25"/>
        <v>1</v>
      </c>
      <c r="J348">
        <f t="shared" si="26"/>
        <v>1</v>
      </c>
      <c r="K348">
        <f t="shared" si="27"/>
        <v>1</v>
      </c>
    </row>
    <row r="349" spans="1:11" x14ac:dyDescent="0.25">
      <c r="A349" s="10">
        <v>44909</v>
      </c>
      <c r="B349" s="11">
        <v>0.31644675925925925</v>
      </c>
      <c r="C349" s="11">
        <v>0.64270833333333333</v>
      </c>
      <c r="D349" s="12">
        <v>8</v>
      </c>
      <c r="E349" s="12">
        <v>1.5</v>
      </c>
      <c r="F349" s="12">
        <v>0.14000000000000001</v>
      </c>
      <c r="G349" s="13">
        <v>6.01</v>
      </c>
      <c r="H349">
        <f t="shared" si="24"/>
        <v>0</v>
      </c>
      <c r="I349">
        <f t="shared" si="25"/>
        <v>0</v>
      </c>
      <c r="J349">
        <f t="shared" si="26"/>
        <v>0</v>
      </c>
      <c r="K349">
        <f t="shared" si="27"/>
        <v>0</v>
      </c>
    </row>
    <row r="350" spans="1:11" x14ac:dyDescent="0.25">
      <c r="A350" s="6">
        <v>44910</v>
      </c>
      <c r="B350" s="7">
        <v>0.3170486111111111</v>
      </c>
      <c r="C350" s="7">
        <v>0.64277777777777778</v>
      </c>
      <c r="D350" s="8">
        <v>5</v>
      </c>
      <c r="E350" s="8">
        <v>3.8</v>
      </c>
      <c r="F350" s="8">
        <v>0.24</v>
      </c>
      <c r="G350" s="9">
        <v>4.92</v>
      </c>
      <c r="H350">
        <f t="shared" si="24"/>
        <v>1</v>
      </c>
      <c r="I350">
        <f t="shared" si="25"/>
        <v>1</v>
      </c>
      <c r="J350">
        <f t="shared" si="26"/>
        <v>1</v>
      </c>
      <c r="K350">
        <f t="shared" si="27"/>
        <v>1</v>
      </c>
    </row>
    <row r="351" spans="1:11" x14ac:dyDescent="0.25">
      <c r="A351" s="10">
        <v>44911</v>
      </c>
      <c r="B351" s="11">
        <v>0.31761574074074073</v>
      </c>
      <c r="C351" s="11">
        <v>0.64288194444444446</v>
      </c>
      <c r="D351" s="12">
        <v>7</v>
      </c>
      <c r="E351" s="12">
        <v>2.11</v>
      </c>
      <c r="F351" s="12">
        <v>0.6</v>
      </c>
      <c r="G351" s="13">
        <v>4.95</v>
      </c>
      <c r="H351">
        <f t="shared" si="24"/>
        <v>0</v>
      </c>
      <c r="I351">
        <f t="shared" si="25"/>
        <v>0</v>
      </c>
      <c r="J351">
        <f t="shared" si="26"/>
        <v>0</v>
      </c>
      <c r="K351">
        <f t="shared" si="27"/>
        <v>0</v>
      </c>
    </row>
    <row r="352" spans="1:11" x14ac:dyDescent="0.25">
      <c r="A352" s="6">
        <v>44912</v>
      </c>
      <c r="B352" s="7">
        <v>0.31813657407407409</v>
      </c>
      <c r="C352" s="7">
        <v>0.64303240740740741</v>
      </c>
      <c r="D352" s="8">
        <v>7</v>
      </c>
      <c r="E352" s="8">
        <v>2.2200000000000002</v>
      </c>
      <c r="F352" s="8">
        <v>0.95</v>
      </c>
      <c r="G352" s="9">
        <v>6.02</v>
      </c>
      <c r="H352">
        <f t="shared" si="24"/>
        <v>1</v>
      </c>
      <c r="I352">
        <f t="shared" si="25"/>
        <v>1</v>
      </c>
      <c r="J352">
        <f t="shared" si="26"/>
        <v>1</v>
      </c>
      <c r="K352">
        <f t="shared" si="27"/>
        <v>1</v>
      </c>
    </row>
    <row r="353" spans="1:11" x14ac:dyDescent="0.25">
      <c r="A353" s="10">
        <v>44913</v>
      </c>
      <c r="B353" s="11">
        <v>0.31863425925925926</v>
      </c>
      <c r="C353" s="11">
        <v>0.64321759259259259</v>
      </c>
      <c r="D353" s="12">
        <v>7</v>
      </c>
      <c r="E353" s="12">
        <v>2.82</v>
      </c>
      <c r="F353" s="12">
        <v>0.3</v>
      </c>
      <c r="G353" s="13">
        <v>4.6500000000000004</v>
      </c>
      <c r="H353">
        <f t="shared" si="24"/>
        <v>1</v>
      </c>
      <c r="I353">
        <f t="shared" si="25"/>
        <v>1</v>
      </c>
      <c r="J353">
        <f t="shared" si="26"/>
        <v>1</v>
      </c>
      <c r="K353">
        <f t="shared" si="27"/>
        <v>2</v>
      </c>
    </row>
    <row r="354" spans="1:11" x14ac:dyDescent="0.25">
      <c r="A354" s="6">
        <v>44914</v>
      </c>
      <c r="B354" s="7">
        <v>0.3190972222222222</v>
      </c>
      <c r="C354" s="7">
        <v>0.64344907407407403</v>
      </c>
      <c r="D354" s="8">
        <v>8</v>
      </c>
      <c r="E354" s="8">
        <v>1.25</v>
      </c>
      <c r="F354" s="8">
        <v>0.32</v>
      </c>
      <c r="G354" s="9">
        <v>6.04</v>
      </c>
      <c r="H354">
        <f t="shared" si="24"/>
        <v>0</v>
      </c>
      <c r="I354">
        <f t="shared" si="25"/>
        <v>0</v>
      </c>
      <c r="J354">
        <f t="shared" si="26"/>
        <v>0</v>
      </c>
      <c r="K354">
        <f t="shared" si="27"/>
        <v>0</v>
      </c>
    </row>
    <row r="355" spans="1:11" x14ac:dyDescent="0.25">
      <c r="A355" s="10">
        <v>44915</v>
      </c>
      <c r="B355" s="11">
        <v>0.31951388888888888</v>
      </c>
      <c r="C355" s="11">
        <v>0.64371527777777782</v>
      </c>
      <c r="D355" s="12">
        <v>8</v>
      </c>
      <c r="E355" s="12">
        <v>1.55</v>
      </c>
      <c r="F355" s="12">
        <v>0.12</v>
      </c>
      <c r="G355" s="13">
        <v>4.43</v>
      </c>
      <c r="H355">
        <f t="shared" si="24"/>
        <v>1</v>
      </c>
      <c r="I355">
        <f t="shared" si="25"/>
        <v>1</v>
      </c>
      <c r="J355">
        <f t="shared" si="26"/>
        <v>1</v>
      </c>
      <c r="K355">
        <f t="shared" si="27"/>
        <v>1</v>
      </c>
    </row>
    <row r="356" spans="1:11" x14ac:dyDescent="0.25">
      <c r="A356" s="6">
        <v>44916</v>
      </c>
      <c r="B356" s="7">
        <v>0.31989583333333332</v>
      </c>
      <c r="C356" s="7">
        <v>0.64402777777777775</v>
      </c>
      <c r="D356" s="8">
        <v>8</v>
      </c>
      <c r="E356" s="8">
        <v>1.77</v>
      </c>
      <c r="F356" s="8">
        <v>0.14000000000000001</v>
      </c>
      <c r="G356" s="9">
        <v>6.21</v>
      </c>
      <c r="H356">
        <f t="shared" si="24"/>
        <v>1</v>
      </c>
      <c r="I356">
        <f t="shared" si="25"/>
        <v>1</v>
      </c>
      <c r="J356">
        <f t="shared" si="26"/>
        <v>1</v>
      </c>
      <c r="K356">
        <f t="shared" si="27"/>
        <v>2</v>
      </c>
    </row>
    <row r="357" spans="1:11" x14ac:dyDescent="0.25">
      <c r="A357" s="10">
        <v>44917</v>
      </c>
      <c r="B357" s="11">
        <v>0.32023148148148151</v>
      </c>
      <c r="C357" s="11">
        <v>0.64437500000000003</v>
      </c>
      <c r="D357" s="12">
        <v>8</v>
      </c>
      <c r="E357" s="12">
        <v>1.31</v>
      </c>
      <c r="F357" s="12">
        <v>0.17</v>
      </c>
      <c r="G357" s="13">
        <v>4.8499999999999996</v>
      </c>
      <c r="H357">
        <f t="shared" si="24"/>
        <v>1</v>
      </c>
      <c r="I357">
        <f t="shared" si="25"/>
        <v>0</v>
      </c>
      <c r="J357">
        <f t="shared" si="26"/>
        <v>0</v>
      </c>
      <c r="K357">
        <f t="shared" si="27"/>
        <v>0</v>
      </c>
    </row>
    <row r="358" spans="1:11" x14ac:dyDescent="0.25">
      <c r="A358" s="6">
        <v>44918</v>
      </c>
      <c r="B358" s="7">
        <v>0.3205439814814815</v>
      </c>
      <c r="C358" s="7">
        <v>0.64475694444444442</v>
      </c>
      <c r="D358" s="8">
        <v>6</v>
      </c>
      <c r="E358" s="8">
        <v>3.04</v>
      </c>
      <c r="F358" s="8">
        <v>0.72</v>
      </c>
      <c r="G358" s="9">
        <v>4.12</v>
      </c>
      <c r="H358">
        <f t="shared" si="24"/>
        <v>1</v>
      </c>
      <c r="I358">
        <f t="shared" si="25"/>
        <v>1</v>
      </c>
      <c r="J358">
        <f t="shared" si="26"/>
        <v>1</v>
      </c>
      <c r="K358">
        <f t="shared" si="27"/>
        <v>1</v>
      </c>
    </row>
    <row r="359" spans="1:11" x14ac:dyDescent="0.25">
      <c r="A359" s="10">
        <v>44919</v>
      </c>
      <c r="B359" s="11">
        <v>0.32081018518518517</v>
      </c>
      <c r="C359" s="11">
        <v>0.64518518518518519</v>
      </c>
      <c r="D359" s="12">
        <v>8</v>
      </c>
      <c r="E359" s="12">
        <v>1.0900000000000001</v>
      </c>
      <c r="F359" s="12">
        <v>0.09</v>
      </c>
      <c r="G359" s="13">
        <v>6.07</v>
      </c>
      <c r="H359">
        <f t="shared" si="24"/>
        <v>0</v>
      </c>
      <c r="I359">
        <f t="shared" si="25"/>
        <v>0</v>
      </c>
      <c r="J359">
        <f t="shared" si="26"/>
        <v>0</v>
      </c>
      <c r="K359">
        <f t="shared" si="27"/>
        <v>0</v>
      </c>
    </row>
    <row r="360" spans="1:11" x14ac:dyDescent="0.25">
      <c r="A360" s="6">
        <v>44920</v>
      </c>
      <c r="B360" s="7">
        <v>0.32103009259259258</v>
      </c>
      <c r="C360" s="7">
        <v>0.64564814814814819</v>
      </c>
      <c r="D360" s="8">
        <v>7</v>
      </c>
      <c r="E360" s="8">
        <v>2.92</v>
      </c>
      <c r="F360" s="8">
        <v>1.05</v>
      </c>
      <c r="G360" s="9">
        <v>4.1399999999999997</v>
      </c>
      <c r="H360">
        <f t="shared" si="24"/>
        <v>1</v>
      </c>
      <c r="I360">
        <f t="shared" si="25"/>
        <v>1</v>
      </c>
      <c r="J360">
        <f t="shared" si="26"/>
        <v>1</v>
      </c>
      <c r="K360">
        <f t="shared" si="27"/>
        <v>1</v>
      </c>
    </row>
    <row r="361" spans="1:11" x14ac:dyDescent="0.25">
      <c r="A361" s="10">
        <v>44921</v>
      </c>
      <c r="B361" s="11">
        <v>0.32121527777777775</v>
      </c>
      <c r="C361" s="11">
        <v>0.64614583333333331</v>
      </c>
      <c r="D361" s="12">
        <v>6</v>
      </c>
      <c r="E361" s="12">
        <v>3.24</v>
      </c>
      <c r="F361" s="12">
        <v>2.04</v>
      </c>
      <c r="G361" s="13">
        <v>5.0199999999999996</v>
      </c>
      <c r="H361">
        <f t="shared" si="24"/>
        <v>1</v>
      </c>
      <c r="I361">
        <f t="shared" si="25"/>
        <v>1</v>
      </c>
      <c r="J361">
        <f t="shared" si="26"/>
        <v>1</v>
      </c>
      <c r="K361">
        <f t="shared" si="27"/>
        <v>2</v>
      </c>
    </row>
    <row r="362" spans="1:11" x14ac:dyDescent="0.25">
      <c r="A362" s="6">
        <v>44922</v>
      </c>
      <c r="B362" s="7">
        <v>0.32136574074074076</v>
      </c>
      <c r="C362" s="7">
        <v>0.64667824074074076</v>
      </c>
      <c r="D362" s="8">
        <v>5</v>
      </c>
      <c r="E362" s="8">
        <v>3.79</v>
      </c>
      <c r="F362" s="8">
        <v>2.61</v>
      </c>
      <c r="G362" s="9">
        <v>4.6500000000000004</v>
      </c>
      <c r="H362">
        <f t="shared" si="24"/>
        <v>1</v>
      </c>
      <c r="I362">
        <f t="shared" si="25"/>
        <v>1</v>
      </c>
      <c r="J362">
        <f t="shared" si="26"/>
        <v>1</v>
      </c>
      <c r="K362">
        <f t="shared" si="27"/>
        <v>3</v>
      </c>
    </row>
    <row r="363" spans="1:11" x14ac:dyDescent="0.25">
      <c r="A363" s="10">
        <v>44923</v>
      </c>
      <c r="B363" s="11">
        <v>0.32146990740740738</v>
      </c>
      <c r="C363" s="11">
        <v>0.64725694444444448</v>
      </c>
      <c r="D363" s="12">
        <v>8</v>
      </c>
      <c r="E363" s="12">
        <v>1.54</v>
      </c>
      <c r="F363" s="12">
        <v>0.36</v>
      </c>
      <c r="G363" s="13">
        <v>4.1900000000000004</v>
      </c>
      <c r="H363">
        <f t="shared" si="24"/>
        <v>0</v>
      </c>
      <c r="I363">
        <f t="shared" si="25"/>
        <v>0</v>
      </c>
      <c r="J363">
        <f t="shared" si="26"/>
        <v>0</v>
      </c>
      <c r="K363">
        <f t="shared" si="27"/>
        <v>0</v>
      </c>
    </row>
    <row r="364" spans="1:11" x14ac:dyDescent="0.25">
      <c r="A364" s="6">
        <v>44924</v>
      </c>
      <c r="B364" s="7">
        <v>0.32153935185185184</v>
      </c>
      <c r="C364" s="7">
        <v>0.64787037037037032</v>
      </c>
      <c r="D364" s="8">
        <v>8</v>
      </c>
      <c r="E364" s="8">
        <v>1.21</v>
      </c>
      <c r="F364" s="8">
        <v>0.24</v>
      </c>
      <c r="G364" s="9">
        <v>5.39</v>
      </c>
      <c r="H364">
        <f t="shared" si="24"/>
        <v>1</v>
      </c>
      <c r="I364">
        <f t="shared" si="25"/>
        <v>0</v>
      </c>
      <c r="J364">
        <f t="shared" si="26"/>
        <v>0</v>
      </c>
      <c r="K364">
        <f t="shared" si="27"/>
        <v>0</v>
      </c>
    </row>
    <row r="365" spans="1:11" x14ac:dyDescent="0.25">
      <c r="A365" s="10">
        <v>44925</v>
      </c>
      <c r="B365" s="11">
        <v>0.32156249999999997</v>
      </c>
      <c r="C365" s="11">
        <v>0.64850694444444446</v>
      </c>
      <c r="D365" s="12">
        <v>5</v>
      </c>
      <c r="E365" s="12">
        <v>3.76</v>
      </c>
      <c r="F365" s="12">
        <v>0.22</v>
      </c>
      <c r="G365" s="13">
        <v>4.0599999999999996</v>
      </c>
      <c r="H365">
        <f t="shared" si="24"/>
        <v>1</v>
      </c>
      <c r="I365">
        <f t="shared" si="25"/>
        <v>1</v>
      </c>
      <c r="J365">
        <f t="shared" si="26"/>
        <v>1</v>
      </c>
      <c r="K365">
        <f t="shared" si="27"/>
        <v>1</v>
      </c>
    </row>
    <row r="366" spans="1:11" x14ac:dyDescent="0.25">
      <c r="A366" s="14">
        <v>44926</v>
      </c>
      <c r="B366" s="15">
        <v>0.32155092592592593</v>
      </c>
      <c r="C366" s="15">
        <v>0.64918981481481486</v>
      </c>
      <c r="D366" s="1">
        <v>8</v>
      </c>
      <c r="E366" s="1">
        <v>1.98</v>
      </c>
      <c r="F366" s="1">
        <v>0.03</v>
      </c>
      <c r="G366" s="2">
        <v>5.03</v>
      </c>
      <c r="H366">
        <f t="shared" si="24"/>
        <v>0</v>
      </c>
      <c r="I366">
        <f t="shared" si="25"/>
        <v>0</v>
      </c>
      <c r="J366">
        <f t="shared" si="26"/>
        <v>0</v>
      </c>
      <c r="K366">
        <f t="shared" si="2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8B7C-1BF6-417E-A51B-F29BFB9A0B94}">
  <dimension ref="A1:M366"/>
  <sheetViews>
    <sheetView topLeftCell="L1" workbookViewId="0">
      <selection activeCell="K17" sqref="K17:M27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  <col min="8" max="8" width="9.85546875" style="18" bestFit="1" customWidth="1"/>
    <col min="10" max="10" width="17.7109375" bestFit="1" customWidth="1"/>
    <col min="11" max="11" width="18.42578125" bestFit="1" customWidth="1"/>
    <col min="12" max="12" width="16.85546875" bestFit="1" customWidth="1"/>
    <col min="13" max="13" width="17.7109375" bestFit="1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7" t="s">
        <v>10</v>
      </c>
    </row>
    <row r="2" spans="1:13" x14ac:dyDescent="0.25">
      <c r="A2" s="6">
        <v>44562</v>
      </c>
      <c r="B2" s="7">
        <v>0.32148148148148148</v>
      </c>
      <c r="C2" s="7">
        <v>0.65008101851851852</v>
      </c>
      <c r="D2" s="8">
        <v>0</v>
      </c>
      <c r="E2" s="8">
        <v>7.78</v>
      </c>
      <c r="F2" s="8">
        <v>3.29</v>
      </c>
      <c r="G2" s="9">
        <v>4.5599999999999996</v>
      </c>
      <c r="H2" s="18">
        <f>INT((C2-B2)*24)</f>
        <v>7</v>
      </c>
      <c r="J2" s="19" t="s">
        <v>11</v>
      </c>
      <c r="K2" t="s">
        <v>13</v>
      </c>
      <c r="L2" t="s">
        <v>14</v>
      </c>
      <c r="M2" t="s">
        <v>15</v>
      </c>
    </row>
    <row r="3" spans="1:13" x14ac:dyDescent="0.25">
      <c r="A3" s="10">
        <v>44563</v>
      </c>
      <c r="B3" s="11">
        <v>0.3213773148148148</v>
      </c>
      <c r="C3" s="11">
        <v>0.65083333333333337</v>
      </c>
      <c r="D3" s="12">
        <v>4</v>
      </c>
      <c r="E3" s="12">
        <v>4.47</v>
      </c>
      <c r="F3" s="12">
        <v>1.23</v>
      </c>
      <c r="G3" s="13">
        <v>3.99</v>
      </c>
      <c r="H3" s="18">
        <f t="shared" ref="H3:H66" si="0">INT((C3-B3)*24)</f>
        <v>7</v>
      </c>
      <c r="J3" s="20">
        <v>7</v>
      </c>
      <c r="K3" s="21">
        <v>2.8851612903225816</v>
      </c>
      <c r="L3" s="21">
        <v>1.0867741935483872</v>
      </c>
      <c r="M3" s="21">
        <v>4.9245161290322583</v>
      </c>
    </row>
    <row r="4" spans="1:13" x14ac:dyDescent="0.25">
      <c r="A4" s="6">
        <v>44564</v>
      </c>
      <c r="B4" s="7">
        <v>0.32123842592592594</v>
      </c>
      <c r="C4" s="7">
        <v>0.65162037037037035</v>
      </c>
      <c r="D4" s="8">
        <v>4</v>
      </c>
      <c r="E4" s="8">
        <v>6.02</v>
      </c>
      <c r="F4" s="8">
        <v>4.74</v>
      </c>
      <c r="G4" s="9">
        <v>2.56</v>
      </c>
      <c r="H4" s="18">
        <f t="shared" si="0"/>
        <v>7</v>
      </c>
      <c r="J4" s="20">
        <v>8</v>
      </c>
      <c r="K4" s="21">
        <v>3.8480851063829786</v>
      </c>
      <c r="L4" s="21">
        <v>1.6531914893617019</v>
      </c>
      <c r="M4" s="21">
        <v>3.3853191489361691</v>
      </c>
    </row>
    <row r="5" spans="1:13" x14ac:dyDescent="0.25">
      <c r="A5" s="10">
        <v>44565</v>
      </c>
      <c r="B5" s="11">
        <v>0.32105324074074076</v>
      </c>
      <c r="C5" s="11">
        <v>0.65243055555555551</v>
      </c>
      <c r="D5" s="12">
        <v>6</v>
      </c>
      <c r="E5" s="12">
        <v>2.63</v>
      </c>
      <c r="F5" s="12">
        <v>1.22</v>
      </c>
      <c r="G5" s="13">
        <v>5.22</v>
      </c>
      <c r="H5" s="18">
        <f t="shared" si="0"/>
        <v>7</v>
      </c>
      <c r="J5" s="20">
        <v>9</v>
      </c>
      <c r="K5" s="21">
        <v>5.4006060606060604</v>
      </c>
      <c r="L5" s="21">
        <v>2.5590909090909082</v>
      </c>
      <c r="M5" s="21">
        <v>3.1033333333333335</v>
      </c>
    </row>
    <row r="6" spans="1:13" x14ac:dyDescent="0.25">
      <c r="A6" s="6">
        <v>44566</v>
      </c>
      <c r="B6" s="7">
        <v>0.32083333333333336</v>
      </c>
      <c r="C6" s="7">
        <v>0.65327546296296302</v>
      </c>
      <c r="D6" s="8">
        <v>2</v>
      </c>
      <c r="E6" s="8">
        <v>7.99</v>
      </c>
      <c r="F6" s="8">
        <v>5.68</v>
      </c>
      <c r="G6" s="9">
        <v>4.22</v>
      </c>
      <c r="H6" s="18">
        <f t="shared" si="0"/>
        <v>7</v>
      </c>
      <c r="J6" s="20">
        <v>10</v>
      </c>
      <c r="K6" s="21">
        <v>6.9366666666666665</v>
      </c>
      <c r="L6" s="21">
        <v>3.0203333333333329</v>
      </c>
      <c r="M6" s="21">
        <v>2.8179999999999996</v>
      </c>
    </row>
    <row r="7" spans="1:13" x14ac:dyDescent="0.25">
      <c r="A7" s="10">
        <v>44567</v>
      </c>
      <c r="B7" s="11">
        <v>0.32057870370370373</v>
      </c>
      <c r="C7" s="11">
        <v>0.65414351851851849</v>
      </c>
      <c r="D7" s="12">
        <v>3</v>
      </c>
      <c r="E7" s="12">
        <v>4.6500000000000004</v>
      </c>
      <c r="F7" s="12">
        <v>3.24</v>
      </c>
      <c r="G7" s="13">
        <v>2.57</v>
      </c>
      <c r="H7" s="18">
        <f t="shared" si="0"/>
        <v>8</v>
      </c>
      <c r="J7" s="20">
        <v>11</v>
      </c>
      <c r="K7" s="21">
        <v>7.1539999999999981</v>
      </c>
      <c r="L7" s="21">
        <v>3.4816666666666674</v>
      </c>
      <c r="M7" s="21">
        <v>2.6263333333333332</v>
      </c>
    </row>
    <row r="8" spans="1:13" x14ac:dyDescent="0.25">
      <c r="A8" s="6">
        <v>44568</v>
      </c>
      <c r="B8" s="7">
        <v>0.32027777777777777</v>
      </c>
      <c r="C8" s="7">
        <v>0.65504629629629629</v>
      </c>
      <c r="D8" s="8">
        <v>1</v>
      </c>
      <c r="E8" s="8">
        <v>7.91</v>
      </c>
      <c r="F8" s="8">
        <v>2.34</v>
      </c>
      <c r="G8" s="9">
        <v>2.2200000000000002</v>
      </c>
      <c r="H8" s="18">
        <f t="shared" si="0"/>
        <v>8</v>
      </c>
      <c r="J8" s="20">
        <v>12</v>
      </c>
      <c r="K8" s="21">
        <v>11.322666666666665</v>
      </c>
      <c r="L8" s="21">
        <v>5.4006666666666669</v>
      </c>
      <c r="M8" s="21">
        <v>2.6583333333333337</v>
      </c>
    </row>
    <row r="9" spans="1:13" x14ac:dyDescent="0.25">
      <c r="A9" s="10">
        <v>44569</v>
      </c>
      <c r="B9" s="11">
        <v>0.31994212962962965</v>
      </c>
      <c r="C9" s="11">
        <v>0.65597222222222218</v>
      </c>
      <c r="D9" s="12">
        <v>1</v>
      </c>
      <c r="E9" s="12">
        <v>7.24</v>
      </c>
      <c r="F9" s="12">
        <v>2.58</v>
      </c>
      <c r="G9" s="13">
        <v>2.4700000000000002</v>
      </c>
      <c r="H9" s="18">
        <f t="shared" si="0"/>
        <v>8</v>
      </c>
      <c r="J9" s="20">
        <v>13</v>
      </c>
      <c r="K9" s="21">
        <v>12.232258064516127</v>
      </c>
      <c r="L9" s="21">
        <v>6.347419354838709</v>
      </c>
      <c r="M9" s="21">
        <v>2.4974193548387102</v>
      </c>
    </row>
    <row r="10" spans="1:13" x14ac:dyDescent="0.25">
      <c r="A10" s="6">
        <v>44570</v>
      </c>
      <c r="B10" s="7">
        <v>0.31957175925925924</v>
      </c>
      <c r="C10" s="7">
        <v>0.6569328703703704</v>
      </c>
      <c r="D10" s="8">
        <v>1</v>
      </c>
      <c r="E10" s="8">
        <v>7.96</v>
      </c>
      <c r="F10" s="8">
        <v>2.74</v>
      </c>
      <c r="G10" s="9">
        <v>1.95</v>
      </c>
      <c r="H10" s="18">
        <f t="shared" si="0"/>
        <v>8</v>
      </c>
      <c r="J10" s="20">
        <v>14</v>
      </c>
      <c r="K10" s="21">
        <v>10.975483870967745</v>
      </c>
      <c r="L10" s="21">
        <v>5.5135483870967743</v>
      </c>
      <c r="M10" s="21">
        <v>2.5077419354838715</v>
      </c>
    </row>
    <row r="11" spans="1:13" x14ac:dyDescent="0.25">
      <c r="A11" s="10">
        <v>44571</v>
      </c>
      <c r="B11" s="11">
        <v>0.31915509259259262</v>
      </c>
      <c r="C11" s="11">
        <v>0.65790509259259256</v>
      </c>
      <c r="D11" s="12">
        <v>3</v>
      </c>
      <c r="E11" s="12">
        <v>2.37</v>
      </c>
      <c r="F11" s="12">
        <v>0.96</v>
      </c>
      <c r="G11" s="13">
        <v>2.3199999999999998</v>
      </c>
      <c r="H11" s="18">
        <f t="shared" si="0"/>
        <v>8</v>
      </c>
      <c r="J11" s="20">
        <v>15</v>
      </c>
      <c r="K11" s="21">
        <v>13.208108108108107</v>
      </c>
      <c r="L11" s="21">
        <v>6.6997297297297296</v>
      </c>
      <c r="M11" s="21">
        <v>2.4445945945945948</v>
      </c>
    </row>
    <row r="12" spans="1:13" x14ac:dyDescent="0.25">
      <c r="A12" s="6">
        <v>44572</v>
      </c>
      <c r="B12" s="7">
        <v>0.31870370370370371</v>
      </c>
      <c r="C12" s="7">
        <v>0.65891203703703705</v>
      </c>
      <c r="D12" s="8">
        <v>5</v>
      </c>
      <c r="E12" s="8">
        <v>1.56</v>
      </c>
      <c r="F12" s="8">
        <v>0.45</v>
      </c>
      <c r="G12" s="9">
        <v>3.21</v>
      </c>
      <c r="H12" s="18">
        <f t="shared" si="0"/>
        <v>8</v>
      </c>
      <c r="J12" s="20">
        <v>16</v>
      </c>
      <c r="K12" s="21">
        <v>12.592615384615385</v>
      </c>
      <c r="L12" s="21">
        <v>6.7406153846153831</v>
      </c>
      <c r="M12" s="21">
        <v>2.7924615384615374</v>
      </c>
    </row>
    <row r="13" spans="1:13" x14ac:dyDescent="0.25">
      <c r="A13" s="10">
        <v>44573</v>
      </c>
      <c r="B13" s="11">
        <v>0.31821759259259258</v>
      </c>
      <c r="C13" s="11">
        <v>0.65993055555555558</v>
      </c>
      <c r="D13" s="12">
        <v>6</v>
      </c>
      <c r="E13" s="12">
        <v>1.27</v>
      </c>
      <c r="F13" s="12">
        <v>0.22</v>
      </c>
      <c r="G13" s="13">
        <v>3.34</v>
      </c>
      <c r="H13" s="18">
        <f t="shared" si="0"/>
        <v>8</v>
      </c>
      <c r="J13" s="20" t="s">
        <v>12</v>
      </c>
      <c r="K13" s="21">
        <v>8.8700821917808188</v>
      </c>
      <c r="L13" s="21">
        <v>4.4017534246575369</v>
      </c>
      <c r="M13" s="21">
        <v>2.9709041095890414</v>
      </c>
    </row>
    <row r="14" spans="1:13" x14ac:dyDescent="0.25">
      <c r="A14" s="6">
        <v>44574</v>
      </c>
      <c r="B14" s="7">
        <v>0.31769675925925928</v>
      </c>
      <c r="C14" s="7">
        <v>0.66098379629629633</v>
      </c>
      <c r="D14" s="8">
        <v>0</v>
      </c>
      <c r="E14" s="8">
        <v>8.6300000000000008</v>
      </c>
      <c r="F14" s="8">
        <v>3.47</v>
      </c>
      <c r="G14" s="9">
        <v>2.2599999999999998</v>
      </c>
      <c r="H14" s="18">
        <f t="shared" si="0"/>
        <v>8</v>
      </c>
    </row>
    <row r="15" spans="1:13" x14ac:dyDescent="0.25">
      <c r="A15" s="10">
        <v>44575</v>
      </c>
      <c r="B15" s="11">
        <v>0.31714120370370369</v>
      </c>
      <c r="C15" s="11">
        <v>0.66204861111111113</v>
      </c>
      <c r="D15" s="12">
        <v>1</v>
      </c>
      <c r="E15" s="12">
        <v>7.36</v>
      </c>
      <c r="F15" s="12">
        <v>2.2200000000000002</v>
      </c>
      <c r="G15" s="13">
        <v>2.56</v>
      </c>
      <c r="H15" s="18">
        <f t="shared" si="0"/>
        <v>8</v>
      </c>
    </row>
    <row r="16" spans="1:13" x14ac:dyDescent="0.25">
      <c r="A16" s="6">
        <v>44576</v>
      </c>
      <c r="B16" s="7">
        <v>0.31655092592592593</v>
      </c>
      <c r="C16" s="7">
        <v>0.66313657407407411</v>
      </c>
      <c r="D16" s="8">
        <v>5</v>
      </c>
      <c r="E16" s="8">
        <v>2.11</v>
      </c>
      <c r="F16" s="8">
        <v>0.45</v>
      </c>
      <c r="G16" s="9">
        <v>2.21</v>
      </c>
      <c r="H16" s="18">
        <f t="shared" si="0"/>
        <v>8</v>
      </c>
    </row>
    <row r="17" spans="1:13" x14ac:dyDescent="0.25">
      <c r="A17" s="10">
        <v>44577</v>
      </c>
      <c r="B17" s="11">
        <v>0.31592592592592594</v>
      </c>
      <c r="C17" s="11">
        <v>0.66424768518518518</v>
      </c>
      <c r="D17" s="12">
        <v>3</v>
      </c>
      <c r="E17" s="12">
        <v>5.31</v>
      </c>
      <c r="F17" s="12">
        <v>3.45</v>
      </c>
      <c r="G17" s="13">
        <v>1.22</v>
      </c>
      <c r="H17" s="18">
        <f t="shared" si="0"/>
        <v>8</v>
      </c>
      <c r="J17" t="s">
        <v>16</v>
      </c>
      <c r="K17" t="s">
        <v>17</v>
      </c>
      <c r="L17" t="s">
        <v>18</v>
      </c>
      <c r="M17" t="s">
        <v>19</v>
      </c>
    </row>
    <row r="18" spans="1:13" x14ac:dyDescent="0.25">
      <c r="A18" s="6">
        <v>44578</v>
      </c>
      <c r="B18" s="7">
        <v>0.31526620370370373</v>
      </c>
      <c r="C18" s="7">
        <v>0.66537037037037039</v>
      </c>
      <c r="D18" s="8">
        <v>2</v>
      </c>
      <c r="E18" s="8">
        <v>5.93</v>
      </c>
      <c r="F18" s="8">
        <v>1.25</v>
      </c>
      <c r="G18" s="9">
        <v>3.34</v>
      </c>
      <c r="H18" s="18">
        <f t="shared" si="0"/>
        <v>8</v>
      </c>
      <c r="J18" s="20">
        <v>7</v>
      </c>
      <c r="K18" s="18">
        <v>2.8851612903225816</v>
      </c>
      <c r="L18" s="18">
        <v>1.0867741935483872</v>
      </c>
      <c r="M18" s="18">
        <v>4.9245161290322583</v>
      </c>
    </row>
    <row r="19" spans="1:13" x14ac:dyDescent="0.25">
      <c r="A19" s="10">
        <v>44579</v>
      </c>
      <c r="B19" s="11">
        <v>0.31457175925925923</v>
      </c>
      <c r="C19" s="11">
        <v>0.66650462962962964</v>
      </c>
      <c r="D19" s="12">
        <v>6</v>
      </c>
      <c r="E19" s="12">
        <v>2.19</v>
      </c>
      <c r="F19" s="12">
        <v>0.21</v>
      </c>
      <c r="G19" s="13">
        <v>3.22</v>
      </c>
      <c r="H19" s="18">
        <f t="shared" si="0"/>
        <v>8</v>
      </c>
      <c r="J19" s="20">
        <v>8</v>
      </c>
      <c r="K19" s="18">
        <v>3.8480851063829786</v>
      </c>
      <c r="L19" s="18">
        <v>1.6531914893617019</v>
      </c>
      <c r="M19" s="18">
        <v>3.3853191489361691</v>
      </c>
    </row>
    <row r="20" spans="1:13" x14ac:dyDescent="0.25">
      <c r="A20" s="6">
        <v>44580</v>
      </c>
      <c r="B20" s="7">
        <v>0.31384259259259262</v>
      </c>
      <c r="C20" s="7">
        <v>0.66766203703703708</v>
      </c>
      <c r="D20" s="8">
        <v>4</v>
      </c>
      <c r="E20" s="8">
        <v>3.53</v>
      </c>
      <c r="F20" s="8">
        <v>0.34</v>
      </c>
      <c r="G20" s="9">
        <v>1.25</v>
      </c>
      <c r="H20" s="18">
        <f t="shared" si="0"/>
        <v>8</v>
      </c>
      <c r="J20" s="20">
        <v>9</v>
      </c>
      <c r="K20" s="18">
        <v>5.4006060606060604</v>
      </c>
      <c r="L20" s="18">
        <v>2.5590909090909082</v>
      </c>
      <c r="M20" s="18">
        <v>3.1033333333333335</v>
      </c>
    </row>
    <row r="21" spans="1:13" x14ac:dyDescent="0.25">
      <c r="A21" s="10">
        <v>44581</v>
      </c>
      <c r="B21" s="11">
        <v>0.31309027777777776</v>
      </c>
      <c r="C21" s="11">
        <v>0.66883101851851856</v>
      </c>
      <c r="D21" s="12">
        <v>3</v>
      </c>
      <c r="E21" s="12">
        <v>4.33</v>
      </c>
      <c r="F21" s="12">
        <v>0.99</v>
      </c>
      <c r="G21" s="13">
        <v>0.21</v>
      </c>
      <c r="H21" s="18">
        <f t="shared" si="0"/>
        <v>8</v>
      </c>
      <c r="J21" s="20">
        <v>10</v>
      </c>
      <c r="K21" s="18">
        <v>6.9366666666666665</v>
      </c>
      <c r="L21" s="18">
        <v>3.0203333333333329</v>
      </c>
      <c r="M21" s="18">
        <v>2.8179999999999996</v>
      </c>
    </row>
    <row r="22" spans="1:13" x14ac:dyDescent="0.25">
      <c r="A22" s="6">
        <v>44582</v>
      </c>
      <c r="B22" s="7">
        <v>0.31230324074074073</v>
      </c>
      <c r="C22" s="7">
        <v>0.67002314814814812</v>
      </c>
      <c r="D22" s="8">
        <v>6</v>
      </c>
      <c r="E22" s="8">
        <v>2.33</v>
      </c>
      <c r="F22" s="8">
        <v>0.02</v>
      </c>
      <c r="G22" s="9">
        <v>2.61</v>
      </c>
      <c r="H22" s="18">
        <f t="shared" si="0"/>
        <v>8</v>
      </c>
      <c r="J22" s="20">
        <v>11</v>
      </c>
      <c r="K22" s="18">
        <v>7.1539999999999981</v>
      </c>
      <c r="L22" s="18">
        <v>3.4816666666666674</v>
      </c>
      <c r="M22" s="18">
        <v>2.6263333333333332</v>
      </c>
    </row>
    <row r="23" spans="1:13" x14ac:dyDescent="0.25">
      <c r="A23" s="10">
        <v>44583</v>
      </c>
      <c r="B23" s="11">
        <v>0.31148148148148147</v>
      </c>
      <c r="C23" s="11">
        <v>0.67121527777777779</v>
      </c>
      <c r="D23" s="12">
        <v>6</v>
      </c>
      <c r="E23" s="12">
        <v>3.21</v>
      </c>
      <c r="F23" s="12">
        <v>0.78</v>
      </c>
      <c r="G23" s="13">
        <v>2.2200000000000002</v>
      </c>
      <c r="H23" s="18">
        <f t="shared" si="0"/>
        <v>8</v>
      </c>
      <c r="J23" s="20">
        <v>12</v>
      </c>
      <c r="K23" s="18">
        <v>11.322666666666665</v>
      </c>
      <c r="L23" s="18">
        <v>5.4006666666666669</v>
      </c>
      <c r="M23" s="18">
        <v>2.6583333333333337</v>
      </c>
    </row>
    <row r="24" spans="1:13" x14ac:dyDescent="0.25">
      <c r="A24" s="6">
        <v>44584</v>
      </c>
      <c r="B24" s="7">
        <v>0.31063657407407408</v>
      </c>
      <c r="C24" s="7">
        <v>0.67243055555555553</v>
      </c>
      <c r="D24" s="8">
        <v>5</v>
      </c>
      <c r="E24" s="8">
        <v>4.0199999999999996</v>
      </c>
      <c r="F24" s="8">
        <v>2.0099999999999998</v>
      </c>
      <c r="G24" s="9">
        <v>1.01</v>
      </c>
      <c r="H24" s="18">
        <f t="shared" si="0"/>
        <v>8</v>
      </c>
      <c r="J24" s="20">
        <v>13</v>
      </c>
      <c r="K24" s="18">
        <v>12.232258064516127</v>
      </c>
      <c r="L24" s="18">
        <v>6.347419354838709</v>
      </c>
      <c r="M24" s="18">
        <v>2.4974193548387102</v>
      </c>
    </row>
    <row r="25" spans="1:13" x14ac:dyDescent="0.25">
      <c r="A25" s="10">
        <v>44585</v>
      </c>
      <c r="B25" s="11">
        <v>0.30975694444444446</v>
      </c>
      <c r="C25" s="11">
        <v>0.67364583333333339</v>
      </c>
      <c r="D25" s="12">
        <v>4</v>
      </c>
      <c r="E25" s="12">
        <v>4.45</v>
      </c>
      <c r="F25" s="12">
        <v>2.34</v>
      </c>
      <c r="G25" s="13">
        <v>1.95</v>
      </c>
      <c r="H25" s="18">
        <f t="shared" si="0"/>
        <v>8</v>
      </c>
      <c r="J25" s="20">
        <v>14</v>
      </c>
      <c r="K25" s="18">
        <v>10.975483870967745</v>
      </c>
      <c r="L25" s="18">
        <v>5.5135483870967743</v>
      </c>
      <c r="M25" s="18">
        <v>2.5077419354838715</v>
      </c>
    </row>
    <row r="26" spans="1:13" x14ac:dyDescent="0.25">
      <c r="A26" s="6">
        <v>44586</v>
      </c>
      <c r="B26" s="7">
        <v>0.30884259259259261</v>
      </c>
      <c r="C26" s="7">
        <v>0.67487268518518517</v>
      </c>
      <c r="D26" s="8">
        <v>3</v>
      </c>
      <c r="E26" s="8">
        <v>5.52</v>
      </c>
      <c r="F26" s="8">
        <v>2.21</v>
      </c>
      <c r="G26" s="9">
        <v>1.21</v>
      </c>
      <c r="H26" s="18">
        <f t="shared" si="0"/>
        <v>8</v>
      </c>
      <c r="J26" s="20">
        <v>15</v>
      </c>
      <c r="K26" s="18">
        <v>13.208108108108107</v>
      </c>
      <c r="L26" s="18">
        <v>6.6997297297297296</v>
      </c>
      <c r="M26" s="18">
        <v>2.4445945945945948</v>
      </c>
    </row>
    <row r="27" spans="1:13" x14ac:dyDescent="0.25">
      <c r="A27" s="10">
        <v>44587</v>
      </c>
      <c r="B27" s="11">
        <v>0.30791666666666667</v>
      </c>
      <c r="C27" s="11">
        <v>0.67612268518518515</v>
      </c>
      <c r="D27" s="12">
        <v>2</v>
      </c>
      <c r="E27" s="12">
        <v>5.1100000000000003</v>
      </c>
      <c r="F27" s="12">
        <v>2.02</v>
      </c>
      <c r="G27" s="13">
        <v>1.35</v>
      </c>
      <c r="H27" s="18">
        <f t="shared" si="0"/>
        <v>8</v>
      </c>
      <c r="J27" s="20">
        <v>16</v>
      </c>
      <c r="K27" s="18">
        <v>12.592615384615385</v>
      </c>
      <c r="L27" s="18">
        <v>6.7406153846153831</v>
      </c>
      <c r="M27" s="18">
        <v>2.7924615384615374</v>
      </c>
    </row>
    <row r="28" spans="1:13" x14ac:dyDescent="0.25">
      <c r="A28" s="6">
        <v>44588</v>
      </c>
      <c r="B28" s="7">
        <v>0.3069560185185185</v>
      </c>
      <c r="C28" s="7">
        <v>0.67737268518518523</v>
      </c>
      <c r="D28" s="8">
        <v>1</v>
      </c>
      <c r="E28" s="8">
        <v>4.97</v>
      </c>
      <c r="F28" s="8">
        <v>1.92</v>
      </c>
      <c r="G28" s="9">
        <v>2.0099999999999998</v>
      </c>
      <c r="H28" s="18">
        <f t="shared" si="0"/>
        <v>8</v>
      </c>
    </row>
    <row r="29" spans="1:13" x14ac:dyDescent="0.25">
      <c r="A29" s="10">
        <v>44589</v>
      </c>
      <c r="B29" s="11">
        <v>0.30596064814814816</v>
      </c>
      <c r="C29" s="11">
        <v>0.6786226851851852</v>
      </c>
      <c r="D29" s="12">
        <v>1</v>
      </c>
      <c r="E29" s="12">
        <v>5.67</v>
      </c>
      <c r="F29" s="12">
        <v>3.21</v>
      </c>
      <c r="G29" s="13">
        <v>1.01</v>
      </c>
      <c r="H29" s="18">
        <f t="shared" si="0"/>
        <v>8</v>
      </c>
    </row>
    <row r="30" spans="1:13" x14ac:dyDescent="0.25">
      <c r="A30" s="6">
        <v>44590</v>
      </c>
      <c r="B30" s="7">
        <v>0.30494212962962963</v>
      </c>
      <c r="C30" s="7">
        <v>0.67988425925925922</v>
      </c>
      <c r="D30" s="8">
        <v>1</v>
      </c>
      <c r="E30" s="8">
        <v>5.76</v>
      </c>
      <c r="F30" s="8">
        <v>3.33</v>
      </c>
      <c r="G30" s="9">
        <v>2.0099999999999998</v>
      </c>
      <c r="H30" s="18">
        <f t="shared" si="0"/>
        <v>8</v>
      </c>
    </row>
    <row r="31" spans="1:13" x14ac:dyDescent="0.25">
      <c r="A31" s="10">
        <v>44591</v>
      </c>
      <c r="B31" s="11">
        <v>0.30391203703703706</v>
      </c>
      <c r="C31" s="11">
        <v>0.68115740740740738</v>
      </c>
      <c r="D31" s="12">
        <v>2</v>
      </c>
      <c r="E31" s="12">
        <v>5.97</v>
      </c>
      <c r="F31" s="12">
        <v>3.48</v>
      </c>
      <c r="G31" s="13">
        <v>1.93</v>
      </c>
      <c r="H31" s="18">
        <f t="shared" si="0"/>
        <v>9</v>
      </c>
    </row>
    <row r="32" spans="1:13" x14ac:dyDescent="0.25">
      <c r="A32" s="6">
        <v>44592</v>
      </c>
      <c r="B32" s="7">
        <v>0.30284722222222221</v>
      </c>
      <c r="C32" s="7">
        <v>0.68243055555555554</v>
      </c>
      <c r="D32" s="8">
        <v>1</v>
      </c>
      <c r="E32" s="8">
        <v>6.01</v>
      </c>
      <c r="F32" s="8">
        <v>2.34</v>
      </c>
      <c r="G32" s="9">
        <v>0.94</v>
      </c>
      <c r="H32" s="18">
        <f t="shared" si="0"/>
        <v>9</v>
      </c>
    </row>
    <row r="33" spans="1:8" x14ac:dyDescent="0.25">
      <c r="A33" s="10">
        <v>44593</v>
      </c>
      <c r="B33" s="11">
        <v>0.30175925925925928</v>
      </c>
      <c r="C33" s="11">
        <v>0.68371527777777774</v>
      </c>
      <c r="D33" s="12">
        <v>1</v>
      </c>
      <c r="E33" s="12">
        <v>6.18</v>
      </c>
      <c r="F33" s="12">
        <v>1.34</v>
      </c>
      <c r="G33" s="13">
        <v>1.28</v>
      </c>
      <c r="H33" s="18">
        <f t="shared" si="0"/>
        <v>9</v>
      </c>
    </row>
    <row r="34" spans="1:8" x14ac:dyDescent="0.25">
      <c r="A34" s="6">
        <v>44594</v>
      </c>
      <c r="B34" s="7">
        <v>0.30064814814814816</v>
      </c>
      <c r="C34" s="7">
        <v>0.68500000000000005</v>
      </c>
      <c r="D34" s="8">
        <v>1</v>
      </c>
      <c r="E34" s="8">
        <v>7.25</v>
      </c>
      <c r="F34" s="8">
        <v>1.57</v>
      </c>
      <c r="G34" s="9">
        <v>1.01</v>
      </c>
      <c r="H34" s="18">
        <f t="shared" si="0"/>
        <v>9</v>
      </c>
    </row>
    <row r="35" spans="1:8" x14ac:dyDescent="0.25">
      <c r="A35" s="10">
        <v>44595</v>
      </c>
      <c r="B35" s="11">
        <v>0.29951388888888891</v>
      </c>
      <c r="C35" s="11">
        <v>0.68629629629629629</v>
      </c>
      <c r="D35" s="12">
        <v>4</v>
      </c>
      <c r="E35" s="12">
        <v>3.63</v>
      </c>
      <c r="F35" s="12">
        <v>1.21</v>
      </c>
      <c r="G35" s="13">
        <v>2.25</v>
      </c>
      <c r="H35" s="18">
        <f t="shared" si="0"/>
        <v>9</v>
      </c>
    </row>
    <row r="36" spans="1:8" x14ac:dyDescent="0.25">
      <c r="A36" s="6">
        <v>44596</v>
      </c>
      <c r="B36" s="7">
        <v>0.29835648148148147</v>
      </c>
      <c r="C36" s="7">
        <v>0.68758101851851849</v>
      </c>
      <c r="D36" s="8">
        <v>1</v>
      </c>
      <c r="E36" s="8">
        <v>7.8</v>
      </c>
      <c r="F36" s="8">
        <v>3.34</v>
      </c>
      <c r="G36" s="9">
        <v>2.94</v>
      </c>
      <c r="H36" s="18">
        <f t="shared" si="0"/>
        <v>9</v>
      </c>
    </row>
    <row r="37" spans="1:8" x14ac:dyDescent="0.25">
      <c r="A37" s="10">
        <v>44597</v>
      </c>
      <c r="B37" s="11">
        <v>0.2971759259259259</v>
      </c>
      <c r="C37" s="11">
        <v>0.68887731481481485</v>
      </c>
      <c r="D37" s="12">
        <v>2</v>
      </c>
      <c r="E37" s="12">
        <v>5.0199999999999996</v>
      </c>
      <c r="F37" s="12">
        <v>2.13</v>
      </c>
      <c r="G37" s="13">
        <v>3.1</v>
      </c>
      <c r="H37" s="18">
        <f t="shared" si="0"/>
        <v>9</v>
      </c>
    </row>
    <row r="38" spans="1:8" x14ac:dyDescent="0.25">
      <c r="A38" s="6">
        <v>44598</v>
      </c>
      <c r="B38" s="7">
        <v>0.29597222222222225</v>
      </c>
      <c r="C38" s="7">
        <v>0.69017361111111108</v>
      </c>
      <c r="D38" s="8">
        <v>1</v>
      </c>
      <c r="E38" s="8">
        <v>6.87</v>
      </c>
      <c r="F38" s="8">
        <v>2.89</v>
      </c>
      <c r="G38" s="9">
        <v>3.34</v>
      </c>
      <c r="H38" s="18">
        <f t="shared" si="0"/>
        <v>9</v>
      </c>
    </row>
    <row r="39" spans="1:8" x14ac:dyDescent="0.25">
      <c r="A39" s="10">
        <v>44599</v>
      </c>
      <c r="B39" s="11">
        <v>0.29475694444444445</v>
      </c>
      <c r="C39" s="11">
        <v>0.69148148148148147</v>
      </c>
      <c r="D39" s="12">
        <v>1</v>
      </c>
      <c r="E39" s="12">
        <v>7.59</v>
      </c>
      <c r="F39" s="12">
        <v>2.56</v>
      </c>
      <c r="G39" s="13">
        <v>2.78</v>
      </c>
      <c r="H39" s="18">
        <f t="shared" si="0"/>
        <v>9</v>
      </c>
    </row>
    <row r="40" spans="1:8" x14ac:dyDescent="0.25">
      <c r="A40" s="6">
        <v>44600</v>
      </c>
      <c r="B40" s="7">
        <v>0.29351851851851851</v>
      </c>
      <c r="C40" s="7">
        <v>0.69277777777777783</v>
      </c>
      <c r="D40" s="8">
        <v>1</v>
      </c>
      <c r="E40" s="8">
        <v>7.84</v>
      </c>
      <c r="F40" s="8">
        <v>2.63</v>
      </c>
      <c r="G40" s="9">
        <v>2.19</v>
      </c>
      <c r="H40" s="18">
        <f t="shared" si="0"/>
        <v>9</v>
      </c>
    </row>
    <row r="41" spans="1:8" x14ac:dyDescent="0.25">
      <c r="A41" s="10">
        <v>44601</v>
      </c>
      <c r="B41" s="11">
        <v>0.29226851851851854</v>
      </c>
      <c r="C41" s="11">
        <v>0.6940856481481481</v>
      </c>
      <c r="D41" s="12">
        <v>6</v>
      </c>
      <c r="E41" s="12">
        <v>2.93</v>
      </c>
      <c r="F41" s="12">
        <v>1.1299999999999999</v>
      </c>
      <c r="G41" s="13">
        <v>3.1</v>
      </c>
      <c r="H41" s="18">
        <f t="shared" si="0"/>
        <v>9</v>
      </c>
    </row>
    <row r="42" spans="1:8" x14ac:dyDescent="0.25">
      <c r="A42" s="6">
        <v>44602</v>
      </c>
      <c r="B42" s="7">
        <v>0.29098379629629628</v>
      </c>
      <c r="C42" s="7">
        <v>0.69538194444444446</v>
      </c>
      <c r="D42" s="8">
        <v>7</v>
      </c>
      <c r="E42" s="8">
        <v>1.24</v>
      </c>
      <c r="F42" s="8">
        <v>0.3</v>
      </c>
      <c r="G42" s="9">
        <v>2.14</v>
      </c>
      <c r="H42" s="18">
        <f t="shared" si="0"/>
        <v>9</v>
      </c>
    </row>
    <row r="43" spans="1:8" x14ac:dyDescent="0.25">
      <c r="A43" s="10">
        <v>44603</v>
      </c>
      <c r="B43" s="11">
        <v>0.28969907407407408</v>
      </c>
      <c r="C43" s="11">
        <v>0.69668981481481485</v>
      </c>
      <c r="D43" s="12">
        <v>8</v>
      </c>
      <c r="E43" s="12">
        <v>0.26</v>
      </c>
      <c r="F43" s="12">
        <v>0</v>
      </c>
      <c r="G43" s="13">
        <v>4.8600000000000003</v>
      </c>
      <c r="H43" s="18">
        <f t="shared" si="0"/>
        <v>9</v>
      </c>
    </row>
    <row r="44" spans="1:8" x14ac:dyDescent="0.25">
      <c r="A44" s="6">
        <v>44604</v>
      </c>
      <c r="B44" s="7">
        <v>0.28837962962962965</v>
      </c>
      <c r="C44" s="7">
        <v>0.69798611111111108</v>
      </c>
      <c r="D44" s="8">
        <v>2</v>
      </c>
      <c r="E44" s="8">
        <v>5.79</v>
      </c>
      <c r="F44" s="8">
        <v>1.7</v>
      </c>
      <c r="G44" s="9">
        <v>0.8</v>
      </c>
      <c r="H44" s="18">
        <f t="shared" si="0"/>
        <v>9</v>
      </c>
    </row>
    <row r="45" spans="1:8" x14ac:dyDescent="0.25">
      <c r="A45" s="10">
        <v>44605</v>
      </c>
      <c r="B45" s="11">
        <v>0.28706018518518517</v>
      </c>
      <c r="C45" s="11">
        <v>0.69928240740740744</v>
      </c>
      <c r="D45" s="12">
        <v>3</v>
      </c>
      <c r="E45" s="12">
        <v>5.26</v>
      </c>
      <c r="F45" s="12">
        <v>1.42</v>
      </c>
      <c r="G45" s="13">
        <v>2.34</v>
      </c>
      <c r="H45" s="18">
        <f t="shared" si="0"/>
        <v>9</v>
      </c>
    </row>
    <row r="46" spans="1:8" x14ac:dyDescent="0.25">
      <c r="A46" s="6">
        <v>44606</v>
      </c>
      <c r="B46" s="7">
        <v>0.28570601851851851</v>
      </c>
      <c r="C46" s="7">
        <v>0.70059027777777783</v>
      </c>
      <c r="D46" s="8">
        <v>2</v>
      </c>
      <c r="E46" s="8">
        <v>5.62</v>
      </c>
      <c r="F46" s="8">
        <v>2.41</v>
      </c>
      <c r="G46" s="9">
        <v>2.59</v>
      </c>
      <c r="H46" s="18">
        <f t="shared" si="0"/>
        <v>9</v>
      </c>
    </row>
    <row r="47" spans="1:8" x14ac:dyDescent="0.25">
      <c r="A47" s="10">
        <v>44607</v>
      </c>
      <c r="B47" s="11">
        <v>0.28435185185185186</v>
      </c>
      <c r="C47" s="11">
        <v>0.70188657407407407</v>
      </c>
      <c r="D47" s="12">
        <v>4</v>
      </c>
      <c r="E47" s="12">
        <v>3.58</v>
      </c>
      <c r="F47" s="12">
        <v>1.63</v>
      </c>
      <c r="G47" s="13">
        <v>3.21</v>
      </c>
      <c r="H47" s="18">
        <f t="shared" si="0"/>
        <v>10</v>
      </c>
    </row>
    <row r="48" spans="1:8" x14ac:dyDescent="0.25">
      <c r="A48" s="6">
        <v>44608</v>
      </c>
      <c r="B48" s="7">
        <v>0.28297453703703701</v>
      </c>
      <c r="C48" s="7">
        <v>0.70318287037037042</v>
      </c>
      <c r="D48" s="8">
        <v>7</v>
      </c>
      <c r="E48" s="8">
        <v>1.1599999999999999</v>
      </c>
      <c r="F48" s="8">
        <v>0.25</v>
      </c>
      <c r="G48" s="9">
        <v>2.1</v>
      </c>
      <c r="H48" s="18">
        <f t="shared" si="0"/>
        <v>10</v>
      </c>
    </row>
    <row r="49" spans="1:8" x14ac:dyDescent="0.25">
      <c r="A49" s="10">
        <v>44609</v>
      </c>
      <c r="B49" s="11">
        <v>0.28158564814814813</v>
      </c>
      <c r="C49" s="11">
        <v>0.70447916666666666</v>
      </c>
      <c r="D49" s="12">
        <v>1</v>
      </c>
      <c r="E49" s="12">
        <v>8.59</v>
      </c>
      <c r="F49" s="12">
        <v>3.68</v>
      </c>
      <c r="G49" s="13">
        <v>2.36</v>
      </c>
      <c r="H49" s="18">
        <f t="shared" si="0"/>
        <v>10</v>
      </c>
    </row>
    <row r="50" spans="1:8" x14ac:dyDescent="0.25">
      <c r="A50" s="6">
        <v>44610</v>
      </c>
      <c r="B50" s="7">
        <v>0.2801851851851852</v>
      </c>
      <c r="C50" s="7">
        <v>0.70576388888888886</v>
      </c>
      <c r="D50" s="8">
        <v>3</v>
      </c>
      <c r="E50" s="8">
        <v>4.24</v>
      </c>
      <c r="F50" s="8">
        <v>1.27</v>
      </c>
      <c r="G50" s="9">
        <v>3.09</v>
      </c>
      <c r="H50" s="18">
        <f t="shared" si="0"/>
        <v>10</v>
      </c>
    </row>
    <row r="51" spans="1:8" x14ac:dyDescent="0.25">
      <c r="A51" s="10">
        <v>44611</v>
      </c>
      <c r="B51" s="11">
        <v>0.27877314814814813</v>
      </c>
      <c r="C51" s="11">
        <v>0.70706018518518521</v>
      </c>
      <c r="D51" s="12">
        <v>6</v>
      </c>
      <c r="E51" s="12">
        <v>2.1800000000000002</v>
      </c>
      <c r="F51" s="12">
        <v>0.9</v>
      </c>
      <c r="G51" s="13">
        <v>3.17</v>
      </c>
      <c r="H51" s="18">
        <f t="shared" si="0"/>
        <v>10</v>
      </c>
    </row>
    <row r="52" spans="1:8" x14ac:dyDescent="0.25">
      <c r="A52" s="6">
        <v>44612</v>
      </c>
      <c r="B52" s="7">
        <v>0.27733796296296298</v>
      </c>
      <c r="C52" s="7">
        <v>0.70834490740740741</v>
      </c>
      <c r="D52" s="8">
        <v>0</v>
      </c>
      <c r="E52" s="8">
        <v>9.14</v>
      </c>
      <c r="F52" s="8">
        <v>2.74</v>
      </c>
      <c r="G52" s="9">
        <v>1.96</v>
      </c>
      <c r="H52" s="18">
        <f t="shared" si="0"/>
        <v>10</v>
      </c>
    </row>
    <row r="53" spans="1:8" x14ac:dyDescent="0.25">
      <c r="A53" s="10">
        <v>44613</v>
      </c>
      <c r="B53" s="11">
        <v>0.27590277777777777</v>
      </c>
      <c r="C53" s="11">
        <v>0.70962962962962961</v>
      </c>
      <c r="D53" s="12">
        <v>0</v>
      </c>
      <c r="E53" s="12">
        <v>9.85</v>
      </c>
      <c r="F53" s="12">
        <v>3.02</v>
      </c>
      <c r="G53" s="13">
        <v>2.46</v>
      </c>
      <c r="H53" s="18">
        <f t="shared" si="0"/>
        <v>10</v>
      </c>
    </row>
    <row r="54" spans="1:8" x14ac:dyDescent="0.25">
      <c r="A54" s="6">
        <v>44614</v>
      </c>
      <c r="B54" s="7">
        <v>0.27444444444444444</v>
      </c>
      <c r="C54" s="7">
        <v>0.71091435185185181</v>
      </c>
      <c r="D54" s="8">
        <v>1</v>
      </c>
      <c r="E54" s="8">
        <v>9.2899999999999991</v>
      </c>
      <c r="F54" s="8">
        <v>2.79</v>
      </c>
      <c r="G54" s="9">
        <v>1.49</v>
      </c>
      <c r="H54" s="18">
        <f t="shared" si="0"/>
        <v>10</v>
      </c>
    </row>
    <row r="55" spans="1:8" x14ac:dyDescent="0.25">
      <c r="A55" s="10">
        <v>44615</v>
      </c>
      <c r="B55" s="11">
        <v>0.27297453703703706</v>
      </c>
      <c r="C55" s="11">
        <v>0.71219907407407412</v>
      </c>
      <c r="D55" s="12">
        <v>4</v>
      </c>
      <c r="E55" s="12">
        <v>2.57</v>
      </c>
      <c r="F55" s="12">
        <v>0.76</v>
      </c>
      <c r="G55" s="13">
        <v>4.03</v>
      </c>
      <c r="H55" s="18">
        <f t="shared" si="0"/>
        <v>10</v>
      </c>
    </row>
    <row r="56" spans="1:8" x14ac:dyDescent="0.25">
      <c r="A56" s="6">
        <v>44616</v>
      </c>
      <c r="B56" s="7">
        <v>0.27150462962962962</v>
      </c>
      <c r="C56" s="7">
        <v>0.71347222222222217</v>
      </c>
      <c r="D56" s="8">
        <v>0</v>
      </c>
      <c r="E56" s="8">
        <v>9.64</v>
      </c>
      <c r="F56" s="8">
        <v>3.82</v>
      </c>
      <c r="G56" s="9">
        <v>2.36</v>
      </c>
      <c r="H56" s="18">
        <f t="shared" si="0"/>
        <v>10</v>
      </c>
    </row>
    <row r="57" spans="1:8" x14ac:dyDescent="0.25">
      <c r="A57" s="10">
        <v>44617</v>
      </c>
      <c r="B57" s="11">
        <v>0.27001157407407406</v>
      </c>
      <c r="C57" s="11">
        <v>0.71474537037037034</v>
      </c>
      <c r="D57" s="12">
        <v>0</v>
      </c>
      <c r="E57" s="12">
        <v>9.35</v>
      </c>
      <c r="F57" s="12">
        <v>3.73</v>
      </c>
      <c r="G57" s="13">
        <v>2.1800000000000002</v>
      </c>
      <c r="H57" s="18">
        <f t="shared" si="0"/>
        <v>10</v>
      </c>
    </row>
    <row r="58" spans="1:8" x14ac:dyDescent="0.25">
      <c r="A58" s="6">
        <v>44618</v>
      </c>
      <c r="B58" s="7">
        <v>0.26851851851851855</v>
      </c>
      <c r="C58" s="7">
        <v>0.7160185185185185</v>
      </c>
      <c r="D58" s="8">
        <v>0</v>
      </c>
      <c r="E58" s="8">
        <v>8.76</v>
      </c>
      <c r="F58" s="8">
        <v>3.92</v>
      </c>
      <c r="G58" s="9">
        <v>2.4</v>
      </c>
      <c r="H58" s="18">
        <f t="shared" si="0"/>
        <v>10</v>
      </c>
    </row>
    <row r="59" spans="1:8" x14ac:dyDescent="0.25">
      <c r="A59" s="10">
        <v>44619</v>
      </c>
      <c r="B59" s="11">
        <v>0.26700231481481479</v>
      </c>
      <c r="C59" s="11">
        <v>0.71728009259259262</v>
      </c>
      <c r="D59" s="12">
        <v>0</v>
      </c>
      <c r="E59" s="12">
        <v>9.77</v>
      </c>
      <c r="F59" s="12">
        <v>3.26</v>
      </c>
      <c r="G59" s="13">
        <v>1.3</v>
      </c>
      <c r="H59" s="18">
        <f t="shared" si="0"/>
        <v>10</v>
      </c>
    </row>
    <row r="60" spans="1:8" x14ac:dyDescent="0.25">
      <c r="A60" s="6">
        <v>44620</v>
      </c>
      <c r="B60" s="7">
        <v>0.26548611111111109</v>
      </c>
      <c r="C60" s="7">
        <v>0.71855324074074078</v>
      </c>
      <c r="D60" s="8">
        <v>5</v>
      </c>
      <c r="E60" s="8">
        <v>2.93</v>
      </c>
      <c r="F60" s="8">
        <v>1.03</v>
      </c>
      <c r="G60" s="9">
        <v>2.99</v>
      </c>
      <c r="H60" s="18">
        <f t="shared" si="0"/>
        <v>10</v>
      </c>
    </row>
    <row r="61" spans="1:8" x14ac:dyDescent="0.25">
      <c r="A61" s="10">
        <v>44621</v>
      </c>
      <c r="B61" s="11">
        <v>0.26396990740740739</v>
      </c>
      <c r="C61" s="11">
        <v>0.7198148148148148</v>
      </c>
      <c r="D61" s="12">
        <v>2</v>
      </c>
      <c r="E61" s="12">
        <v>4.66</v>
      </c>
      <c r="F61" s="12">
        <v>1.37</v>
      </c>
      <c r="G61" s="13">
        <v>2.0499999999999998</v>
      </c>
      <c r="H61" s="18">
        <f t="shared" si="0"/>
        <v>10</v>
      </c>
    </row>
    <row r="62" spans="1:8" x14ac:dyDescent="0.25">
      <c r="A62" s="6">
        <v>44622</v>
      </c>
      <c r="B62" s="7">
        <v>0.26243055555555556</v>
      </c>
      <c r="C62" s="7">
        <v>0.72106481481481477</v>
      </c>
      <c r="D62" s="8">
        <v>6</v>
      </c>
      <c r="E62" s="8">
        <v>2.99</v>
      </c>
      <c r="F62" s="8">
        <v>0.74</v>
      </c>
      <c r="G62" s="9">
        <v>1.48</v>
      </c>
      <c r="H62" s="18">
        <f t="shared" si="0"/>
        <v>11</v>
      </c>
    </row>
    <row r="63" spans="1:8" x14ac:dyDescent="0.25">
      <c r="A63" s="10">
        <v>44623</v>
      </c>
      <c r="B63" s="11">
        <v>0.26089120370370372</v>
      </c>
      <c r="C63" s="11">
        <v>0.72232638888888889</v>
      </c>
      <c r="D63" s="12">
        <v>7</v>
      </c>
      <c r="E63" s="12">
        <v>1.1399999999999999</v>
      </c>
      <c r="F63" s="12">
        <v>0.22</v>
      </c>
      <c r="G63" s="13">
        <v>3.27</v>
      </c>
      <c r="H63" s="18">
        <f t="shared" si="0"/>
        <v>11</v>
      </c>
    </row>
    <row r="64" spans="1:8" x14ac:dyDescent="0.25">
      <c r="A64" s="6">
        <v>44624</v>
      </c>
      <c r="B64" s="7">
        <v>0.25934027777777779</v>
      </c>
      <c r="C64" s="7">
        <v>0.72357638888888887</v>
      </c>
      <c r="D64" s="8">
        <v>0</v>
      </c>
      <c r="E64" s="8">
        <v>9.7100000000000009</v>
      </c>
      <c r="F64" s="8">
        <v>3.95</v>
      </c>
      <c r="G64" s="9">
        <v>1.96</v>
      </c>
      <c r="H64" s="18">
        <f t="shared" si="0"/>
        <v>11</v>
      </c>
    </row>
    <row r="65" spans="1:8" x14ac:dyDescent="0.25">
      <c r="A65" s="10">
        <v>44625</v>
      </c>
      <c r="B65" s="11">
        <v>0.25777777777777777</v>
      </c>
      <c r="C65" s="11">
        <v>0.72482638888888884</v>
      </c>
      <c r="D65" s="12">
        <v>0</v>
      </c>
      <c r="E65" s="12">
        <v>9.92</v>
      </c>
      <c r="F65" s="12">
        <v>3.01</v>
      </c>
      <c r="G65" s="13">
        <v>1.52</v>
      </c>
      <c r="H65" s="18">
        <f t="shared" si="0"/>
        <v>11</v>
      </c>
    </row>
    <row r="66" spans="1:8" x14ac:dyDescent="0.25">
      <c r="A66" s="6">
        <v>44626</v>
      </c>
      <c r="B66" s="7">
        <v>0.25621527777777775</v>
      </c>
      <c r="C66" s="7">
        <v>0.72607638888888892</v>
      </c>
      <c r="D66" s="8">
        <v>1</v>
      </c>
      <c r="E66" s="8">
        <v>9.66</v>
      </c>
      <c r="F66" s="8">
        <v>2.79</v>
      </c>
      <c r="G66" s="9">
        <v>1.24</v>
      </c>
      <c r="H66" s="18">
        <f t="shared" si="0"/>
        <v>11</v>
      </c>
    </row>
    <row r="67" spans="1:8" x14ac:dyDescent="0.25">
      <c r="A67" s="10">
        <v>44627</v>
      </c>
      <c r="B67" s="11">
        <v>0.25464120370370369</v>
      </c>
      <c r="C67" s="11">
        <v>0.72731481481481486</v>
      </c>
      <c r="D67" s="12">
        <v>4</v>
      </c>
      <c r="E67" s="12">
        <v>3.6</v>
      </c>
      <c r="F67" s="12">
        <v>1.68</v>
      </c>
      <c r="G67" s="13">
        <v>2.75</v>
      </c>
      <c r="H67" s="18">
        <f t="shared" ref="H67:H130" si="1">INT((C67-B67)*24)</f>
        <v>11</v>
      </c>
    </row>
    <row r="68" spans="1:8" x14ac:dyDescent="0.25">
      <c r="A68" s="6">
        <v>44628</v>
      </c>
      <c r="B68" s="7">
        <v>0.25306712962962963</v>
      </c>
      <c r="C68" s="7">
        <v>0.72855324074074079</v>
      </c>
      <c r="D68" s="8">
        <v>2</v>
      </c>
      <c r="E68" s="8">
        <v>4.9000000000000004</v>
      </c>
      <c r="F68" s="8">
        <v>2.5299999999999998</v>
      </c>
      <c r="G68" s="9">
        <v>2.46</v>
      </c>
      <c r="H68" s="18">
        <f t="shared" si="1"/>
        <v>11</v>
      </c>
    </row>
    <row r="69" spans="1:8" x14ac:dyDescent="0.25">
      <c r="A69" s="10">
        <v>44629</v>
      </c>
      <c r="B69" s="11">
        <v>0.25148148148148147</v>
      </c>
      <c r="C69" s="11">
        <v>0.72979166666666662</v>
      </c>
      <c r="D69" s="12">
        <v>3</v>
      </c>
      <c r="E69" s="12">
        <v>3.29</v>
      </c>
      <c r="F69" s="12">
        <v>0.73</v>
      </c>
      <c r="G69" s="13">
        <v>2.4300000000000002</v>
      </c>
      <c r="H69" s="18">
        <f t="shared" si="1"/>
        <v>11</v>
      </c>
    </row>
    <row r="70" spans="1:8" x14ac:dyDescent="0.25">
      <c r="A70" s="6">
        <v>44630</v>
      </c>
      <c r="B70" s="7">
        <v>0.24989583333333334</v>
      </c>
      <c r="C70" s="7">
        <v>0.73103009259259255</v>
      </c>
      <c r="D70" s="8">
        <v>1</v>
      </c>
      <c r="E70" s="8">
        <v>7.92</v>
      </c>
      <c r="F70" s="8">
        <v>1.58</v>
      </c>
      <c r="G70" s="9">
        <v>1.63</v>
      </c>
      <c r="H70" s="18">
        <f t="shared" si="1"/>
        <v>11</v>
      </c>
    </row>
    <row r="71" spans="1:8" x14ac:dyDescent="0.25">
      <c r="A71" s="10">
        <v>44631</v>
      </c>
      <c r="B71" s="11">
        <v>0.24831018518518519</v>
      </c>
      <c r="C71" s="11">
        <v>0.73225694444444445</v>
      </c>
      <c r="D71" s="12">
        <v>4</v>
      </c>
      <c r="E71" s="12">
        <v>2.99</v>
      </c>
      <c r="F71" s="12">
        <v>1.05</v>
      </c>
      <c r="G71" s="13">
        <v>2.89</v>
      </c>
      <c r="H71" s="18">
        <f t="shared" si="1"/>
        <v>11</v>
      </c>
    </row>
    <row r="72" spans="1:8" x14ac:dyDescent="0.25">
      <c r="A72" s="6">
        <v>44632</v>
      </c>
      <c r="B72" s="7">
        <v>0.2467013888888889</v>
      </c>
      <c r="C72" s="7">
        <v>0.73348379629629634</v>
      </c>
      <c r="D72" s="8">
        <v>0</v>
      </c>
      <c r="E72" s="8">
        <v>11.09</v>
      </c>
      <c r="F72" s="8">
        <v>3.46</v>
      </c>
      <c r="G72" s="9">
        <v>1.28</v>
      </c>
      <c r="H72" s="18">
        <f t="shared" si="1"/>
        <v>11</v>
      </c>
    </row>
    <row r="73" spans="1:8" x14ac:dyDescent="0.25">
      <c r="A73" s="10">
        <v>44633</v>
      </c>
      <c r="B73" s="11">
        <v>0.24510416666666668</v>
      </c>
      <c r="C73" s="11">
        <v>0.73471064814814813</v>
      </c>
      <c r="D73" s="12">
        <v>0</v>
      </c>
      <c r="E73" s="12">
        <v>12.5</v>
      </c>
      <c r="F73" s="12">
        <v>3.14</v>
      </c>
      <c r="G73" s="13">
        <v>1.24</v>
      </c>
      <c r="H73" s="18">
        <f t="shared" si="1"/>
        <v>11</v>
      </c>
    </row>
    <row r="74" spans="1:8" x14ac:dyDescent="0.25">
      <c r="A74" s="6">
        <v>44634</v>
      </c>
      <c r="B74" s="7">
        <v>0.24349537037037036</v>
      </c>
      <c r="C74" s="7">
        <v>0.73593750000000002</v>
      </c>
      <c r="D74" s="8">
        <v>2</v>
      </c>
      <c r="E74" s="8">
        <v>5.32</v>
      </c>
      <c r="F74" s="8">
        <v>2.64</v>
      </c>
      <c r="G74" s="9">
        <v>3.06</v>
      </c>
      <c r="H74" s="18">
        <f t="shared" si="1"/>
        <v>11</v>
      </c>
    </row>
    <row r="75" spans="1:8" x14ac:dyDescent="0.25">
      <c r="A75" s="10">
        <v>44635</v>
      </c>
      <c r="B75" s="11">
        <v>0.24188657407407407</v>
      </c>
      <c r="C75" s="11">
        <v>0.73716435185185181</v>
      </c>
      <c r="D75" s="12">
        <v>6</v>
      </c>
      <c r="E75" s="12">
        <v>3.14</v>
      </c>
      <c r="F75" s="12">
        <v>1.73</v>
      </c>
      <c r="G75" s="13">
        <v>3.82</v>
      </c>
      <c r="H75" s="18">
        <f t="shared" si="1"/>
        <v>11</v>
      </c>
    </row>
    <row r="76" spans="1:8" x14ac:dyDescent="0.25">
      <c r="A76" s="6">
        <v>44636</v>
      </c>
      <c r="B76" s="7">
        <v>0.24027777777777778</v>
      </c>
      <c r="C76" s="7">
        <v>0.73837962962962966</v>
      </c>
      <c r="D76" s="8">
        <v>0</v>
      </c>
      <c r="E76" s="8">
        <v>12.41</v>
      </c>
      <c r="F76" s="8">
        <v>3.85</v>
      </c>
      <c r="G76" s="9">
        <v>0.67</v>
      </c>
      <c r="H76" s="18">
        <f t="shared" si="1"/>
        <v>11</v>
      </c>
    </row>
    <row r="77" spans="1:8" x14ac:dyDescent="0.25">
      <c r="A77" s="10">
        <v>44637</v>
      </c>
      <c r="B77" s="11">
        <v>0.23866898148148147</v>
      </c>
      <c r="C77" s="11">
        <v>0.73959490740740741</v>
      </c>
      <c r="D77" s="12">
        <v>4</v>
      </c>
      <c r="E77" s="12">
        <v>3.11</v>
      </c>
      <c r="F77" s="12">
        <v>2.14</v>
      </c>
      <c r="G77" s="13">
        <v>4.2</v>
      </c>
      <c r="H77" s="18">
        <f t="shared" si="1"/>
        <v>12</v>
      </c>
    </row>
    <row r="78" spans="1:8" x14ac:dyDescent="0.25">
      <c r="A78" s="6">
        <v>44638</v>
      </c>
      <c r="B78" s="7">
        <v>0.23704861111111111</v>
      </c>
      <c r="C78" s="7">
        <v>0.74081018518518515</v>
      </c>
      <c r="D78" s="8">
        <v>0</v>
      </c>
      <c r="E78" s="8">
        <v>11.14</v>
      </c>
      <c r="F78" s="8">
        <v>3.57</v>
      </c>
      <c r="G78" s="9">
        <v>1.4</v>
      </c>
      <c r="H78" s="18">
        <f t="shared" si="1"/>
        <v>12</v>
      </c>
    </row>
    <row r="79" spans="1:8" x14ac:dyDescent="0.25">
      <c r="A79" s="10">
        <v>44639</v>
      </c>
      <c r="B79" s="11">
        <v>0.23542824074074073</v>
      </c>
      <c r="C79" s="11">
        <v>0.74202546296296301</v>
      </c>
      <c r="D79" s="12">
        <v>0</v>
      </c>
      <c r="E79" s="12">
        <v>14.64</v>
      </c>
      <c r="F79" s="12">
        <v>3.79</v>
      </c>
      <c r="G79" s="13">
        <v>0.42</v>
      </c>
      <c r="H79" s="18">
        <f t="shared" si="1"/>
        <v>12</v>
      </c>
    </row>
    <row r="80" spans="1:8" x14ac:dyDescent="0.25">
      <c r="A80" s="6">
        <v>44640</v>
      </c>
      <c r="B80" s="7">
        <v>0.23380787037037037</v>
      </c>
      <c r="C80" s="7">
        <v>0.74324074074074076</v>
      </c>
      <c r="D80" s="8">
        <v>0</v>
      </c>
      <c r="E80" s="8">
        <v>12.39</v>
      </c>
      <c r="F80" s="8">
        <v>3.87</v>
      </c>
      <c r="G80" s="9">
        <v>1.02</v>
      </c>
      <c r="H80" s="18">
        <f t="shared" si="1"/>
        <v>12</v>
      </c>
    </row>
    <row r="81" spans="1:8" x14ac:dyDescent="0.25">
      <c r="A81" s="10">
        <v>44641</v>
      </c>
      <c r="B81" s="11">
        <v>0.23218749999999999</v>
      </c>
      <c r="C81" s="11">
        <v>0.74444444444444446</v>
      </c>
      <c r="D81" s="12">
        <v>3</v>
      </c>
      <c r="E81" s="12">
        <v>3.56</v>
      </c>
      <c r="F81" s="12">
        <v>1.4</v>
      </c>
      <c r="G81" s="13">
        <v>3.29</v>
      </c>
      <c r="H81" s="18">
        <f t="shared" si="1"/>
        <v>12</v>
      </c>
    </row>
    <row r="82" spans="1:8" x14ac:dyDescent="0.25">
      <c r="A82" s="6">
        <v>44642</v>
      </c>
      <c r="B82" s="7">
        <v>0.23056712962962964</v>
      </c>
      <c r="C82" s="7">
        <v>0.74565972222222221</v>
      </c>
      <c r="D82" s="8">
        <v>5</v>
      </c>
      <c r="E82" s="8">
        <v>3.59</v>
      </c>
      <c r="F82" s="8">
        <v>2.0099999999999998</v>
      </c>
      <c r="G82" s="9">
        <v>3.66</v>
      </c>
      <c r="H82" s="18">
        <f t="shared" si="1"/>
        <v>12</v>
      </c>
    </row>
    <row r="83" spans="1:8" x14ac:dyDescent="0.25">
      <c r="A83" s="10">
        <v>44643</v>
      </c>
      <c r="B83" s="11">
        <v>0.22893518518518519</v>
      </c>
      <c r="C83" s="11">
        <v>0.74686342592592592</v>
      </c>
      <c r="D83" s="12">
        <v>0</v>
      </c>
      <c r="E83" s="12">
        <v>12.04</v>
      </c>
      <c r="F83" s="12">
        <v>3.72</v>
      </c>
      <c r="G83" s="13">
        <v>1.59</v>
      </c>
      <c r="H83" s="18">
        <f t="shared" si="1"/>
        <v>12</v>
      </c>
    </row>
    <row r="84" spans="1:8" x14ac:dyDescent="0.25">
      <c r="A84" s="6">
        <v>44644</v>
      </c>
      <c r="B84" s="7">
        <v>0.2273148148148148</v>
      </c>
      <c r="C84" s="7">
        <v>0.74806712962962962</v>
      </c>
      <c r="D84" s="8">
        <v>0</v>
      </c>
      <c r="E84" s="8">
        <v>12.54</v>
      </c>
      <c r="F84" s="8">
        <v>3.69</v>
      </c>
      <c r="G84" s="9">
        <v>1.05</v>
      </c>
      <c r="H84" s="18">
        <f t="shared" si="1"/>
        <v>12</v>
      </c>
    </row>
    <row r="85" spans="1:8" x14ac:dyDescent="0.25">
      <c r="A85" s="10">
        <v>44645</v>
      </c>
      <c r="B85" s="11">
        <v>0.22569444444444445</v>
      </c>
      <c r="C85" s="11">
        <v>0.74928240740740737</v>
      </c>
      <c r="D85" s="12">
        <v>3</v>
      </c>
      <c r="E85" s="12">
        <v>3.96</v>
      </c>
      <c r="F85" s="12">
        <v>2.59</v>
      </c>
      <c r="G85" s="13">
        <v>3.5</v>
      </c>
      <c r="H85" s="18">
        <f t="shared" si="1"/>
        <v>12</v>
      </c>
    </row>
    <row r="86" spans="1:8" x14ac:dyDescent="0.25">
      <c r="A86" s="6">
        <v>44646</v>
      </c>
      <c r="B86" s="7">
        <v>0.2240625</v>
      </c>
      <c r="C86" s="7">
        <v>0.75048611111111108</v>
      </c>
      <c r="D86" s="8">
        <v>0</v>
      </c>
      <c r="E86" s="8">
        <v>12.15</v>
      </c>
      <c r="F86" s="8">
        <v>3.61</v>
      </c>
      <c r="G86" s="9">
        <v>0.86</v>
      </c>
      <c r="H86" s="18">
        <f t="shared" si="1"/>
        <v>12</v>
      </c>
    </row>
    <row r="87" spans="1:8" x14ac:dyDescent="0.25">
      <c r="A87" s="10">
        <v>44647</v>
      </c>
      <c r="B87" s="11">
        <v>0.2641087962962963</v>
      </c>
      <c r="C87" s="11">
        <v>0.79335648148148152</v>
      </c>
      <c r="D87" s="12">
        <v>0</v>
      </c>
      <c r="E87" s="12">
        <v>10.83</v>
      </c>
      <c r="F87" s="12">
        <v>3.78</v>
      </c>
      <c r="G87" s="13">
        <v>2.4700000000000002</v>
      </c>
      <c r="H87" s="18">
        <f t="shared" si="1"/>
        <v>12</v>
      </c>
    </row>
    <row r="88" spans="1:8" x14ac:dyDescent="0.25">
      <c r="A88" s="6">
        <v>44648</v>
      </c>
      <c r="B88" s="7">
        <v>0.26248842592592592</v>
      </c>
      <c r="C88" s="7">
        <v>0.79456018518518523</v>
      </c>
      <c r="D88" s="8">
        <v>4</v>
      </c>
      <c r="E88" s="8">
        <v>4.42</v>
      </c>
      <c r="F88" s="8">
        <v>3.15</v>
      </c>
      <c r="G88" s="9">
        <v>3.62</v>
      </c>
      <c r="H88" s="18">
        <f t="shared" si="1"/>
        <v>12</v>
      </c>
    </row>
    <row r="89" spans="1:8" x14ac:dyDescent="0.25">
      <c r="A89" s="10">
        <v>44649</v>
      </c>
      <c r="B89" s="11">
        <v>0.26086805555555553</v>
      </c>
      <c r="C89" s="11">
        <v>0.79575231481481479</v>
      </c>
      <c r="D89" s="12">
        <v>7</v>
      </c>
      <c r="E89" s="12">
        <v>1.83</v>
      </c>
      <c r="F89" s="12">
        <v>0.6</v>
      </c>
      <c r="G89" s="13">
        <v>2.89</v>
      </c>
      <c r="H89" s="18">
        <f t="shared" si="1"/>
        <v>12</v>
      </c>
    </row>
    <row r="90" spans="1:8" x14ac:dyDescent="0.25">
      <c r="A90" s="6">
        <v>44650</v>
      </c>
      <c r="B90" s="7">
        <v>0.25924768518518521</v>
      </c>
      <c r="C90" s="7">
        <v>0.79695601851851849</v>
      </c>
      <c r="D90" s="8">
        <v>0</v>
      </c>
      <c r="E90" s="8">
        <v>10.86</v>
      </c>
      <c r="F90" s="8">
        <v>3.24</v>
      </c>
      <c r="G90" s="9">
        <v>1.57</v>
      </c>
      <c r="H90" s="18">
        <f t="shared" si="1"/>
        <v>12</v>
      </c>
    </row>
    <row r="91" spans="1:8" x14ac:dyDescent="0.25">
      <c r="A91" s="10">
        <v>44651</v>
      </c>
      <c r="B91" s="11">
        <v>0.25763888888888886</v>
      </c>
      <c r="C91" s="11">
        <v>0.7981597222222222</v>
      </c>
      <c r="D91" s="12">
        <v>0</v>
      </c>
      <c r="E91" s="12">
        <v>10.73</v>
      </c>
      <c r="F91" s="12">
        <v>3.02</v>
      </c>
      <c r="G91" s="13">
        <v>2.14</v>
      </c>
      <c r="H91" s="18">
        <f t="shared" si="1"/>
        <v>12</v>
      </c>
    </row>
    <row r="92" spans="1:8" x14ac:dyDescent="0.25">
      <c r="A92" s="6">
        <v>44652</v>
      </c>
      <c r="B92" s="7">
        <v>0.25601851851851853</v>
      </c>
      <c r="C92" s="7">
        <v>0.79936342592592591</v>
      </c>
      <c r="D92" s="8">
        <v>3</v>
      </c>
      <c r="E92" s="8">
        <v>5.21</v>
      </c>
      <c r="F92" s="8">
        <v>2.46</v>
      </c>
      <c r="G92" s="9">
        <v>2.89</v>
      </c>
      <c r="H92" s="18">
        <f t="shared" si="1"/>
        <v>13</v>
      </c>
    </row>
    <row r="93" spans="1:8" x14ac:dyDescent="0.25">
      <c r="A93" s="10">
        <v>44653</v>
      </c>
      <c r="B93" s="11">
        <v>0.25440972222222225</v>
      </c>
      <c r="C93" s="11">
        <v>0.80055555555555558</v>
      </c>
      <c r="D93" s="12">
        <v>0</v>
      </c>
      <c r="E93" s="12">
        <v>11.83</v>
      </c>
      <c r="F93" s="12">
        <v>3.14</v>
      </c>
      <c r="G93" s="13">
        <v>1.08</v>
      </c>
      <c r="H93" s="18">
        <f t="shared" si="1"/>
        <v>13</v>
      </c>
    </row>
    <row r="94" spans="1:8" x14ac:dyDescent="0.25">
      <c r="A94" s="6">
        <v>44654</v>
      </c>
      <c r="B94" s="7">
        <v>0.2528009259259259</v>
      </c>
      <c r="C94" s="7">
        <v>0.80175925925925928</v>
      </c>
      <c r="D94" s="8">
        <v>6</v>
      </c>
      <c r="E94" s="8">
        <v>2.3199999999999998</v>
      </c>
      <c r="F94" s="8">
        <v>1.08</v>
      </c>
      <c r="G94" s="9">
        <v>4.09</v>
      </c>
      <c r="H94" s="18">
        <f t="shared" si="1"/>
        <v>13</v>
      </c>
    </row>
    <row r="95" spans="1:8" x14ac:dyDescent="0.25">
      <c r="A95" s="10">
        <v>44655</v>
      </c>
      <c r="B95" s="11">
        <v>0.25120370370370371</v>
      </c>
      <c r="C95" s="11">
        <v>0.80296296296296299</v>
      </c>
      <c r="D95" s="12">
        <v>2</v>
      </c>
      <c r="E95" s="12">
        <v>6.34</v>
      </c>
      <c r="F95" s="12">
        <v>3.25</v>
      </c>
      <c r="G95" s="13">
        <v>2.0099999999999998</v>
      </c>
      <c r="H95" s="18">
        <f t="shared" si="1"/>
        <v>13</v>
      </c>
    </row>
    <row r="96" spans="1:8" x14ac:dyDescent="0.25">
      <c r="A96" s="6">
        <v>44656</v>
      </c>
      <c r="B96" s="7">
        <v>0.24959490740740742</v>
      </c>
      <c r="C96" s="7">
        <v>0.80415509259259255</v>
      </c>
      <c r="D96" s="8">
        <v>4</v>
      </c>
      <c r="E96" s="8">
        <v>4.87</v>
      </c>
      <c r="F96" s="8">
        <v>1.47</v>
      </c>
      <c r="G96" s="9">
        <v>1.86</v>
      </c>
      <c r="H96" s="18">
        <f t="shared" si="1"/>
        <v>13</v>
      </c>
    </row>
    <row r="97" spans="1:8" x14ac:dyDescent="0.25">
      <c r="A97" s="10">
        <v>44657</v>
      </c>
      <c r="B97" s="11">
        <v>0.24800925925925926</v>
      </c>
      <c r="C97" s="11">
        <v>0.80535879629629625</v>
      </c>
      <c r="D97" s="12">
        <v>4</v>
      </c>
      <c r="E97" s="12">
        <v>3.57</v>
      </c>
      <c r="F97" s="12">
        <v>0.16</v>
      </c>
      <c r="G97" s="13">
        <v>2.94</v>
      </c>
      <c r="H97" s="18">
        <f t="shared" si="1"/>
        <v>13</v>
      </c>
    </row>
    <row r="98" spans="1:8" x14ac:dyDescent="0.25">
      <c r="A98" s="6">
        <v>44658</v>
      </c>
      <c r="B98" s="7">
        <v>0.24641203703703704</v>
      </c>
      <c r="C98" s="7">
        <v>0.80656249999999996</v>
      </c>
      <c r="D98" s="8">
        <v>2</v>
      </c>
      <c r="E98" s="8">
        <v>6.61</v>
      </c>
      <c r="F98" s="8">
        <v>2.5099999999999998</v>
      </c>
      <c r="G98" s="9">
        <v>1.34</v>
      </c>
      <c r="H98" s="18">
        <f t="shared" si="1"/>
        <v>13</v>
      </c>
    </row>
    <row r="99" spans="1:8" x14ac:dyDescent="0.25">
      <c r="A99" s="10">
        <v>44659</v>
      </c>
      <c r="B99" s="11">
        <v>0.24482638888888889</v>
      </c>
      <c r="C99" s="11">
        <v>0.80775462962962963</v>
      </c>
      <c r="D99" s="12">
        <v>0</v>
      </c>
      <c r="E99" s="12">
        <v>14.15</v>
      </c>
      <c r="F99" s="12">
        <v>3.32</v>
      </c>
      <c r="G99" s="13">
        <v>1.82</v>
      </c>
      <c r="H99" s="18">
        <f t="shared" si="1"/>
        <v>13</v>
      </c>
    </row>
    <row r="100" spans="1:8" x14ac:dyDescent="0.25">
      <c r="A100" s="6">
        <v>44660</v>
      </c>
      <c r="B100" s="7">
        <v>0.24325231481481482</v>
      </c>
      <c r="C100" s="7">
        <v>0.80895833333333333</v>
      </c>
      <c r="D100" s="8">
        <v>0</v>
      </c>
      <c r="E100" s="8">
        <v>10.3</v>
      </c>
      <c r="F100" s="8">
        <v>3.31</v>
      </c>
      <c r="G100" s="9">
        <v>4.1500000000000004</v>
      </c>
      <c r="H100" s="18">
        <f t="shared" si="1"/>
        <v>13</v>
      </c>
    </row>
    <row r="101" spans="1:8" x14ac:dyDescent="0.25">
      <c r="A101" s="10">
        <v>44661</v>
      </c>
      <c r="B101" s="11">
        <v>0.24167824074074074</v>
      </c>
      <c r="C101" s="11">
        <v>0.81016203703703704</v>
      </c>
      <c r="D101" s="12">
        <v>0</v>
      </c>
      <c r="E101" s="12">
        <v>10.039999999999999</v>
      </c>
      <c r="F101" s="12">
        <v>3.85</v>
      </c>
      <c r="G101" s="13">
        <v>3.16</v>
      </c>
      <c r="H101" s="18">
        <f t="shared" si="1"/>
        <v>13</v>
      </c>
    </row>
    <row r="102" spans="1:8" x14ac:dyDescent="0.25">
      <c r="A102" s="6">
        <v>44662</v>
      </c>
      <c r="B102" s="7">
        <v>0.24010416666666667</v>
      </c>
      <c r="C102" s="7">
        <v>0.81135416666666671</v>
      </c>
      <c r="D102" s="8">
        <v>4</v>
      </c>
      <c r="E102" s="8">
        <v>3.82</v>
      </c>
      <c r="F102" s="8">
        <v>1.64</v>
      </c>
      <c r="G102" s="9">
        <v>3.12</v>
      </c>
      <c r="H102" s="18">
        <f t="shared" si="1"/>
        <v>13</v>
      </c>
    </row>
    <row r="103" spans="1:8" x14ac:dyDescent="0.25">
      <c r="A103" s="10">
        <v>44663</v>
      </c>
      <c r="B103" s="11">
        <v>0.23854166666666668</v>
      </c>
      <c r="C103" s="11">
        <v>0.81255787037037042</v>
      </c>
      <c r="D103" s="12">
        <v>1</v>
      </c>
      <c r="E103" s="12">
        <v>7.92</v>
      </c>
      <c r="F103" s="12">
        <v>3.79</v>
      </c>
      <c r="G103" s="13">
        <v>3.05</v>
      </c>
      <c r="H103" s="18">
        <f t="shared" si="1"/>
        <v>13</v>
      </c>
    </row>
    <row r="104" spans="1:8" x14ac:dyDescent="0.25">
      <c r="A104" s="6">
        <v>44664</v>
      </c>
      <c r="B104" s="7">
        <v>0.23699074074074075</v>
      </c>
      <c r="C104" s="7">
        <v>0.81376157407407412</v>
      </c>
      <c r="D104" s="8">
        <v>1</v>
      </c>
      <c r="E104" s="8">
        <v>7.5</v>
      </c>
      <c r="F104" s="8">
        <v>3.12</v>
      </c>
      <c r="G104" s="9">
        <v>2.94</v>
      </c>
      <c r="H104" s="18">
        <f t="shared" si="1"/>
        <v>13</v>
      </c>
    </row>
    <row r="105" spans="1:8" x14ac:dyDescent="0.25">
      <c r="A105" s="10">
        <v>44665</v>
      </c>
      <c r="B105" s="11">
        <v>0.23543981481481482</v>
      </c>
      <c r="C105" s="11">
        <v>0.81495370370370368</v>
      </c>
      <c r="D105" s="12">
        <v>0</v>
      </c>
      <c r="E105" s="12">
        <v>12.58</v>
      </c>
      <c r="F105" s="12">
        <v>3.42</v>
      </c>
      <c r="G105" s="13">
        <v>2.0499999999999998</v>
      </c>
      <c r="H105" s="18">
        <f t="shared" si="1"/>
        <v>13</v>
      </c>
    </row>
    <row r="106" spans="1:8" x14ac:dyDescent="0.25">
      <c r="A106" s="6">
        <v>44666</v>
      </c>
      <c r="B106" s="7">
        <v>0.23390046296296296</v>
      </c>
      <c r="C106" s="7">
        <v>0.81615740740740739</v>
      </c>
      <c r="D106" s="8">
        <v>2</v>
      </c>
      <c r="E106" s="8">
        <v>7.66</v>
      </c>
      <c r="F106" s="8">
        <v>3.41</v>
      </c>
      <c r="G106" s="9">
        <v>1.68</v>
      </c>
      <c r="H106" s="18">
        <f t="shared" si="1"/>
        <v>13</v>
      </c>
    </row>
    <row r="107" spans="1:8" x14ac:dyDescent="0.25">
      <c r="A107" s="10">
        <v>44667</v>
      </c>
      <c r="B107" s="11">
        <v>0.2323726851851852</v>
      </c>
      <c r="C107" s="11">
        <v>0.81736111111111109</v>
      </c>
      <c r="D107" s="12">
        <v>4</v>
      </c>
      <c r="E107" s="12">
        <v>4.16</v>
      </c>
      <c r="F107" s="12">
        <v>1.58</v>
      </c>
      <c r="G107" s="13">
        <v>2.89</v>
      </c>
      <c r="H107" s="18">
        <f t="shared" si="1"/>
        <v>14</v>
      </c>
    </row>
    <row r="108" spans="1:8" x14ac:dyDescent="0.25">
      <c r="A108" s="6">
        <v>44668</v>
      </c>
      <c r="B108" s="7">
        <v>0.2308449074074074</v>
      </c>
      <c r="C108" s="7">
        <v>0.8185648148148148</v>
      </c>
      <c r="D108" s="8">
        <v>6</v>
      </c>
      <c r="E108" s="8">
        <v>2.34</v>
      </c>
      <c r="F108" s="8">
        <v>1.06</v>
      </c>
      <c r="G108" s="9">
        <v>2.46</v>
      </c>
      <c r="H108" s="18">
        <f t="shared" si="1"/>
        <v>14</v>
      </c>
    </row>
    <row r="109" spans="1:8" x14ac:dyDescent="0.25">
      <c r="A109" s="10">
        <v>44669</v>
      </c>
      <c r="B109" s="11">
        <v>0.22934027777777777</v>
      </c>
      <c r="C109" s="11">
        <v>0.81975694444444447</v>
      </c>
      <c r="D109" s="12">
        <v>6</v>
      </c>
      <c r="E109" s="12">
        <v>2.42</v>
      </c>
      <c r="F109" s="12">
        <v>1.24</v>
      </c>
      <c r="G109" s="13">
        <v>2.97</v>
      </c>
      <c r="H109" s="18">
        <f t="shared" si="1"/>
        <v>14</v>
      </c>
    </row>
    <row r="110" spans="1:8" x14ac:dyDescent="0.25">
      <c r="A110" s="6">
        <v>44670</v>
      </c>
      <c r="B110" s="7">
        <v>0.22783564814814813</v>
      </c>
      <c r="C110" s="7">
        <v>0.82096064814814818</v>
      </c>
      <c r="D110" s="8">
        <v>4</v>
      </c>
      <c r="E110" s="8">
        <v>3.78</v>
      </c>
      <c r="F110" s="8">
        <v>2.0699999999999998</v>
      </c>
      <c r="G110" s="9">
        <v>2.93</v>
      </c>
      <c r="H110" s="18">
        <f t="shared" si="1"/>
        <v>14</v>
      </c>
    </row>
    <row r="111" spans="1:8" x14ac:dyDescent="0.25">
      <c r="A111" s="10">
        <v>44671</v>
      </c>
      <c r="B111" s="11">
        <v>0.2263425925925926</v>
      </c>
      <c r="C111" s="11">
        <v>0.82215277777777773</v>
      </c>
      <c r="D111" s="12">
        <v>1</v>
      </c>
      <c r="E111" s="12">
        <v>7.54</v>
      </c>
      <c r="F111" s="12">
        <v>2.57</v>
      </c>
      <c r="G111" s="13">
        <v>2.06</v>
      </c>
      <c r="H111" s="18">
        <f t="shared" si="1"/>
        <v>14</v>
      </c>
    </row>
    <row r="112" spans="1:8" x14ac:dyDescent="0.25">
      <c r="A112" s="6">
        <v>44672</v>
      </c>
      <c r="B112" s="7">
        <v>0.22486111111111112</v>
      </c>
      <c r="C112" s="7">
        <v>0.82335648148148144</v>
      </c>
      <c r="D112" s="8">
        <v>0</v>
      </c>
      <c r="E112" s="8">
        <v>13.18</v>
      </c>
      <c r="F112" s="8">
        <v>3.56</v>
      </c>
      <c r="G112" s="9">
        <v>2.02</v>
      </c>
      <c r="H112" s="18">
        <f t="shared" si="1"/>
        <v>14</v>
      </c>
    </row>
    <row r="113" spans="1:8" x14ac:dyDescent="0.25">
      <c r="A113" s="10">
        <v>44673</v>
      </c>
      <c r="B113" s="11">
        <v>0.22337962962962962</v>
      </c>
      <c r="C113" s="11">
        <v>0.82456018518518515</v>
      </c>
      <c r="D113" s="12">
        <v>5</v>
      </c>
      <c r="E113" s="12">
        <v>2.54</v>
      </c>
      <c r="F113" s="12">
        <v>0.68</v>
      </c>
      <c r="G113" s="13">
        <v>3.58</v>
      </c>
      <c r="H113" s="18">
        <f t="shared" si="1"/>
        <v>14</v>
      </c>
    </row>
    <row r="114" spans="1:8" x14ac:dyDescent="0.25">
      <c r="A114" s="6">
        <v>44674</v>
      </c>
      <c r="B114" s="7">
        <v>0.22192129629629628</v>
      </c>
      <c r="C114" s="7">
        <v>0.82575231481481481</v>
      </c>
      <c r="D114" s="8">
        <v>0</v>
      </c>
      <c r="E114" s="8">
        <v>10.62</v>
      </c>
      <c r="F114" s="8">
        <v>3.13</v>
      </c>
      <c r="G114" s="9">
        <v>2.0699999999999998</v>
      </c>
      <c r="H114" s="18">
        <f t="shared" si="1"/>
        <v>14</v>
      </c>
    </row>
    <row r="115" spans="1:8" x14ac:dyDescent="0.25">
      <c r="A115" s="10">
        <v>44675</v>
      </c>
      <c r="B115" s="11">
        <v>0.22047453703703704</v>
      </c>
      <c r="C115" s="11">
        <v>0.82694444444444448</v>
      </c>
      <c r="D115" s="12">
        <v>0</v>
      </c>
      <c r="E115" s="12">
        <v>13.23</v>
      </c>
      <c r="F115" s="12">
        <v>3.2</v>
      </c>
      <c r="G115" s="13">
        <v>0.56000000000000005</v>
      </c>
      <c r="H115" s="18">
        <f t="shared" si="1"/>
        <v>14</v>
      </c>
    </row>
    <row r="116" spans="1:8" x14ac:dyDescent="0.25">
      <c r="A116" s="6">
        <v>44676</v>
      </c>
      <c r="B116" s="7">
        <v>0.21903935185185186</v>
      </c>
      <c r="C116" s="7">
        <v>0.82814814814814819</v>
      </c>
      <c r="D116" s="8">
        <v>6</v>
      </c>
      <c r="E116" s="8">
        <v>3.09</v>
      </c>
      <c r="F116" s="8">
        <v>1.32</v>
      </c>
      <c r="G116" s="9">
        <v>3.52</v>
      </c>
      <c r="H116" s="18">
        <f t="shared" si="1"/>
        <v>14</v>
      </c>
    </row>
    <row r="117" spans="1:8" x14ac:dyDescent="0.25">
      <c r="A117" s="10">
        <v>44677</v>
      </c>
      <c r="B117" s="11">
        <v>0.21761574074074075</v>
      </c>
      <c r="C117" s="11">
        <v>0.82934027777777775</v>
      </c>
      <c r="D117" s="12">
        <v>2</v>
      </c>
      <c r="E117" s="12">
        <v>5.84</v>
      </c>
      <c r="F117" s="12">
        <v>2.5099999999999998</v>
      </c>
      <c r="G117" s="13">
        <v>1.33</v>
      </c>
      <c r="H117" s="18">
        <f t="shared" si="1"/>
        <v>14</v>
      </c>
    </row>
    <row r="118" spans="1:8" x14ac:dyDescent="0.25">
      <c r="A118" s="6">
        <v>44678</v>
      </c>
      <c r="B118" s="7">
        <v>0.2162037037037037</v>
      </c>
      <c r="C118" s="7">
        <v>0.83053240740740741</v>
      </c>
      <c r="D118" s="8">
        <v>2</v>
      </c>
      <c r="E118" s="8">
        <v>6.08</v>
      </c>
      <c r="F118" s="8">
        <v>2.34</v>
      </c>
      <c r="G118" s="9">
        <v>1.65</v>
      </c>
      <c r="H118" s="18">
        <f t="shared" si="1"/>
        <v>14</v>
      </c>
    </row>
    <row r="119" spans="1:8" x14ac:dyDescent="0.25">
      <c r="A119" s="10">
        <v>44679</v>
      </c>
      <c r="B119" s="11">
        <v>0.21480324074074075</v>
      </c>
      <c r="C119" s="11">
        <v>0.83171296296296293</v>
      </c>
      <c r="D119" s="12">
        <v>6</v>
      </c>
      <c r="E119" s="12">
        <v>3.61</v>
      </c>
      <c r="F119" s="12">
        <v>1.32</v>
      </c>
      <c r="G119" s="13">
        <v>2.14</v>
      </c>
      <c r="H119" s="18">
        <f t="shared" si="1"/>
        <v>14</v>
      </c>
    </row>
    <row r="120" spans="1:8" x14ac:dyDescent="0.25">
      <c r="A120" s="6">
        <v>44680</v>
      </c>
      <c r="B120" s="7">
        <v>0.21342592592592594</v>
      </c>
      <c r="C120" s="7">
        <v>0.8329050925925926</v>
      </c>
      <c r="D120" s="8">
        <v>1</v>
      </c>
      <c r="E120" s="8">
        <v>9.2799999999999994</v>
      </c>
      <c r="F120" s="8">
        <v>3.62</v>
      </c>
      <c r="G120" s="9">
        <v>2.17</v>
      </c>
      <c r="H120" s="18">
        <f t="shared" si="1"/>
        <v>14</v>
      </c>
    </row>
    <row r="121" spans="1:8" x14ac:dyDescent="0.25">
      <c r="A121" s="10">
        <v>44681</v>
      </c>
      <c r="B121" s="11">
        <v>0.21206018518518518</v>
      </c>
      <c r="C121" s="11">
        <v>0.83408564814814812</v>
      </c>
      <c r="D121" s="12">
        <v>5</v>
      </c>
      <c r="E121" s="12">
        <v>4.6900000000000004</v>
      </c>
      <c r="F121" s="12">
        <v>3.21</v>
      </c>
      <c r="G121" s="13">
        <v>2.9</v>
      </c>
      <c r="H121" s="18">
        <f t="shared" si="1"/>
        <v>14</v>
      </c>
    </row>
    <row r="122" spans="1:8" x14ac:dyDescent="0.25">
      <c r="A122" s="6">
        <v>44682</v>
      </c>
      <c r="B122" s="7">
        <v>0.21070601851851853</v>
      </c>
      <c r="C122" s="7">
        <v>0.83526620370370375</v>
      </c>
      <c r="D122" s="8">
        <v>3</v>
      </c>
      <c r="E122" s="8">
        <v>4.0999999999999996</v>
      </c>
      <c r="F122" s="8">
        <v>2.16</v>
      </c>
      <c r="G122" s="9">
        <v>3.12</v>
      </c>
      <c r="H122" s="18">
        <f t="shared" si="1"/>
        <v>14</v>
      </c>
    </row>
    <row r="123" spans="1:8" x14ac:dyDescent="0.25">
      <c r="A123" s="10">
        <v>44683</v>
      </c>
      <c r="B123" s="11">
        <v>0.20936342592592594</v>
      </c>
      <c r="C123" s="11">
        <v>0.83644675925925926</v>
      </c>
      <c r="D123" s="12">
        <v>0</v>
      </c>
      <c r="E123" s="12">
        <v>12.23</v>
      </c>
      <c r="F123" s="12">
        <v>3.94</v>
      </c>
      <c r="G123" s="13">
        <v>2.0099999999999998</v>
      </c>
      <c r="H123" s="18">
        <f t="shared" si="1"/>
        <v>15</v>
      </c>
    </row>
    <row r="124" spans="1:8" x14ac:dyDescent="0.25">
      <c r="A124" s="6">
        <v>44684</v>
      </c>
      <c r="B124" s="7">
        <v>0.20804398148148148</v>
      </c>
      <c r="C124" s="7">
        <v>0.83762731481481478</v>
      </c>
      <c r="D124" s="8">
        <v>3</v>
      </c>
      <c r="E124" s="8">
        <v>5.28</v>
      </c>
      <c r="F124" s="8">
        <v>2.87</v>
      </c>
      <c r="G124" s="9">
        <v>2.58</v>
      </c>
      <c r="H124" s="18">
        <f t="shared" si="1"/>
        <v>15</v>
      </c>
    </row>
    <row r="125" spans="1:8" x14ac:dyDescent="0.25">
      <c r="A125" s="10">
        <v>44685</v>
      </c>
      <c r="B125" s="11">
        <v>0.20673611111111112</v>
      </c>
      <c r="C125" s="11">
        <v>0.83879629629629626</v>
      </c>
      <c r="D125" s="12">
        <v>0</v>
      </c>
      <c r="E125" s="12">
        <v>13.63</v>
      </c>
      <c r="F125" s="12">
        <v>3.27</v>
      </c>
      <c r="G125" s="13">
        <v>0.93</v>
      </c>
      <c r="H125" s="18">
        <f t="shared" si="1"/>
        <v>15</v>
      </c>
    </row>
    <row r="126" spans="1:8" x14ac:dyDescent="0.25">
      <c r="A126" s="6">
        <v>44686</v>
      </c>
      <c r="B126" s="7">
        <v>0.20545138888888889</v>
      </c>
      <c r="C126" s="7">
        <v>0.8399537037037037</v>
      </c>
      <c r="D126" s="8">
        <v>0</v>
      </c>
      <c r="E126" s="8">
        <v>13.36</v>
      </c>
      <c r="F126" s="8">
        <v>3.91</v>
      </c>
      <c r="G126" s="9">
        <v>1.56</v>
      </c>
      <c r="H126" s="18">
        <f t="shared" si="1"/>
        <v>15</v>
      </c>
    </row>
    <row r="127" spans="1:8" x14ac:dyDescent="0.25">
      <c r="A127" s="10">
        <v>44687</v>
      </c>
      <c r="B127" s="11">
        <v>0.20418981481481482</v>
      </c>
      <c r="C127" s="11">
        <v>0.84112268518518518</v>
      </c>
      <c r="D127" s="12">
        <v>1</v>
      </c>
      <c r="E127" s="12">
        <v>8.76</v>
      </c>
      <c r="F127" s="12">
        <v>3.15</v>
      </c>
      <c r="G127" s="13">
        <v>1.42</v>
      </c>
      <c r="H127" s="18">
        <f t="shared" si="1"/>
        <v>15</v>
      </c>
    </row>
    <row r="128" spans="1:8" x14ac:dyDescent="0.25">
      <c r="A128" s="6">
        <v>44688</v>
      </c>
      <c r="B128" s="7">
        <v>0.20293981481481482</v>
      </c>
      <c r="C128" s="7">
        <v>0.84226851851851847</v>
      </c>
      <c r="D128" s="8">
        <v>2</v>
      </c>
      <c r="E128" s="8">
        <v>5.66</v>
      </c>
      <c r="F128" s="8">
        <v>4.2</v>
      </c>
      <c r="G128" s="9">
        <v>2.94</v>
      </c>
      <c r="H128" s="18">
        <f t="shared" si="1"/>
        <v>15</v>
      </c>
    </row>
    <row r="129" spans="1:8" x14ac:dyDescent="0.25">
      <c r="A129" s="10">
        <v>44689</v>
      </c>
      <c r="B129" s="11">
        <v>0.20170138888888889</v>
      </c>
      <c r="C129" s="11">
        <v>0.84342592592592591</v>
      </c>
      <c r="D129" s="12">
        <v>2</v>
      </c>
      <c r="E129" s="12">
        <v>6.84</v>
      </c>
      <c r="F129" s="12">
        <v>4.38</v>
      </c>
      <c r="G129" s="13">
        <v>2.0499999999999998</v>
      </c>
      <c r="H129" s="18">
        <f t="shared" si="1"/>
        <v>15</v>
      </c>
    </row>
    <row r="130" spans="1:8" x14ac:dyDescent="0.25">
      <c r="A130" s="6">
        <v>44690</v>
      </c>
      <c r="B130" s="7">
        <v>0.20049768518518518</v>
      </c>
      <c r="C130" s="7">
        <v>0.84456018518518516</v>
      </c>
      <c r="D130" s="8">
        <v>7</v>
      </c>
      <c r="E130" s="8">
        <v>2.89</v>
      </c>
      <c r="F130" s="8">
        <v>0.59</v>
      </c>
      <c r="G130" s="9">
        <v>2.19</v>
      </c>
      <c r="H130" s="18">
        <f t="shared" si="1"/>
        <v>15</v>
      </c>
    </row>
    <row r="131" spans="1:8" x14ac:dyDescent="0.25">
      <c r="A131" s="10">
        <v>44691</v>
      </c>
      <c r="B131" s="11">
        <v>0.19930555555555557</v>
      </c>
      <c r="C131" s="11">
        <v>0.84570601851851857</v>
      </c>
      <c r="D131" s="12">
        <v>3</v>
      </c>
      <c r="E131" s="12">
        <v>5.65</v>
      </c>
      <c r="F131" s="12">
        <v>3.89</v>
      </c>
      <c r="G131" s="13">
        <v>3.4</v>
      </c>
      <c r="H131" s="18">
        <f t="shared" ref="H131:H194" si="2">INT((C131-B131)*24)</f>
        <v>15</v>
      </c>
    </row>
    <row r="132" spans="1:8" x14ac:dyDescent="0.25">
      <c r="A132" s="6">
        <v>44692</v>
      </c>
      <c r="B132" s="7">
        <v>0.19813657407407406</v>
      </c>
      <c r="C132" s="7">
        <v>0.84682870370370367</v>
      </c>
      <c r="D132" s="8">
        <v>1</v>
      </c>
      <c r="E132" s="8">
        <v>8.83</v>
      </c>
      <c r="F132" s="8">
        <v>3.04</v>
      </c>
      <c r="G132" s="9">
        <v>2.06</v>
      </c>
      <c r="H132" s="18">
        <f t="shared" si="2"/>
        <v>15</v>
      </c>
    </row>
    <row r="133" spans="1:8" x14ac:dyDescent="0.25">
      <c r="A133" s="10">
        <v>44693</v>
      </c>
      <c r="B133" s="11">
        <v>0.19699074074074074</v>
      </c>
      <c r="C133" s="11">
        <v>0.84795138888888888</v>
      </c>
      <c r="D133" s="12">
        <v>0</v>
      </c>
      <c r="E133" s="12">
        <v>12.14</v>
      </c>
      <c r="F133" s="12">
        <v>5.23</v>
      </c>
      <c r="G133" s="13">
        <v>3.48</v>
      </c>
      <c r="H133" s="18">
        <f t="shared" si="2"/>
        <v>15</v>
      </c>
    </row>
    <row r="134" spans="1:8" x14ac:dyDescent="0.25">
      <c r="A134" s="6">
        <v>44694</v>
      </c>
      <c r="B134" s="7">
        <v>0.19585648148148149</v>
      </c>
      <c r="C134" s="7">
        <v>0.84906250000000005</v>
      </c>
      <c r="D134" s="8">
        <v>1</v>
      </c>
      <c r="E134" s="8">
        <v>14.36</v>
      </c>
      <c r="F134" s="8">
        <v>6.3</v>
      </c>
      <c r="G134" s="9">
        <v>1.57</v>
      </c>
      <c r="H134" s="18">
        <f t="shared" si="2"/>
        <v>15</v>
      </c>
    </row>
    <row r="135" spans="1:8" x14ac:dyDescent="0.25">
      <c r="A135" s="10">
        <v>44695</v>
      </c>
      <c r="B135" s="11">
        <v>0.19475694444444444</v>
      </c>
      <c r="C135" s="11">
        <v>0.85016203703703708</v>
      </c>
      <c r="D135" s="12">
        <v>8</v>
      </c>
      <c r="E135" s="12">
        <v>1.1299999999999999</v>
      </c>
      <c r="F135" s="12">
        <v>0.66</v>
      </c>
      <c r="G135" s="13">
        <v>3.45</v>
      </c>
      <c r="H135" s="18">
        <f t="shared" si="2"/>
        <v>15</v>
      </c>
    </row>
    <row r="136" spans="1:8" x14ac:dyDescent="0.25">
      <c r="A136" s="6">
        <v>44696</v>
      </c>
      <c r="B136" s="7">
        <v>0.19368055555555555</v>
      </c>
      <c r="C136" s="7">
        <v>0.85124999999999995</v>
      </c>
      <c r="D136" s="8">
        <v>1</v>
      </c>
      <c r="E136" s="8">
        <v>10.59</v>
      </c>
      <c r="F136" s="8">
        <v>4.34</v>
      </c>
      <c r="G136" s="9">
        <v>2.6</v>
      </c>
      <c r="H136" s="18">
        <f t="shared" si="2"/>
        <v>15</v>
      </c>
    </row>
    <row r="137" spans="1:8" x14ac:dyDescent="0.25">
      <c r="A137" s="10">
        <v>44697</v>
      </c>
      <c r="B137" s="11">
        <v>0.19262731481481482</v>
      </c>
      <c r="C137" s="11">
        <v>0.8523263888888889</v>
      </c>
      <c r="D137" s="12">
        <v>0</v>
      </c>
      <c r="E137" s="12">
        <v>16.309999999999999</v>
      </c>
      <c r="F137" s="12">
        <v>5.36</v>
      </c>
      <c r="G137" s="13">
        <v>1.89</v>
      </c>
      <c r="H137" s="18">
        <f t="shared" si="2"/>
        <v>15</v>
      </c>
    </row>
    <row r="138" spans="1:8" x14ac:dyDescent="0.25">
      <c r="A138" s="6">
        <v>44698</v>
      </c>
      <c r="B138" s="7">
        <v>0.19158564814814816</v>
      </c>
      <c r="C138" s="7">
        <v>0.85340277777777773</v>
      </c>
      <c r="D138" s="8">
        <v>0</v>
      </c>
      <c r="E138" s="8">
        <v>14.39</v>
      </c>
      <c r="F138" s="8">
        <v>5.34</v>
      </c>
      <c r="G138" s="9">
        <v>1.1399999999999999</v>
      </c>
      <c r="H138" s="18">
        <f t="shared" si="2"/>
        <v>15</v>
      </c>
    </row>
    <row r="139" spans="1:8" x14ac:dyDescent="0.25">
      <c r="A139" s="10">
        <v>44699</v>
      </c>
      <c r="B139" s="11">
        <v>0.19059027777777779</v>
      </c>
      <c r="C139" s="11">
        <v>0.85445601851851849</v>
      </c>
      <c r="D139" s="12">
        <v>0</v>
      </c>
      <c r="E139" s="12">
        <v>15.29</v>
      </c>
      <c r="F139" s="12">
        <v>4.59</v>
      </c>
      <c r="G139" s="13">
        <v>1.27</v>
      </c>
      <c r="H139" s="18">
        <f t="shared" si="2"/>
        <v>15</v>
      </c>
    </row>
    <row r="140" spans="1:8" x14ac:dyDescent="0.25">
      <c r="A140" s="6">
        <v>44700</v>
      </c>
      <c r="B140" s="7">
        <v>0.18960648148148149</v>
      </c>
      <c r="C140" s="7">
        <v>0.85549768518518521</v>
      </c>
      <c r="D140" s="8">
        <v>5</v>
      </c>
      <c r="E140" s="8">
        <v>5.77</v>
      </c>
      <c r="F140" s="8">
        <v>2.58</v>
      </c>
      <c r="G140" s="9">
        <v>1.1599999999999999</v>
      </c>
      <c r="H140" s="18">
        <f t="shared" si="2"/>
        <v>15</v>
      </c>
    </row>
    <row r="141" spans="1:8" x14ac:dyDescent="0.25">
      <c r="A141" s="10">
        <v>44701</v>
      </c>
      <c r="B141" s="11">
        <v>0.18864583333333335</v>
      </c>
      <c r="C141" s="11">
        <v>0.85652777777777778</v>
      </c>
      <c r="D141" s="12">
        <v>3</v>
      </c>
      <c r="E141" s="12">
        <v>6.62</v>
      </c>
      <c r="F141" s="12">
        <v>4.3</v>
      </c>
      <c r="G141" s="13">
        <v>2.2799999999999998</v>
      </c>
      <c r="H141" s="18">
        <f t="shared" si="2"/>
        <v>16</v>
      </c>
    </row>
    <row r="142" spans="1:8" x14ac:dyDescent="0.25">
      <c r="A142" s="6">
        <v>44702</v>
      </c>
      <c r="B142" s="7">
        <v>0.1877199074074074</v>
      </c>
      <c r="C142" s="7">
        <v>0.85754629629629631</v>
      </c>
      <c r="D142" s="8">
        <v>2</v>
      </c>
      <c r="E142" s="8">
        <v>5.03</v>
      </c>
      <c r="F142" s="8">
        <v>2.81</v>
      </c>
      <c r="G142" s="9">
        <v>3.05</v>
      </c>
      <c r="H142" s="18">
        <f t="shared" si="2"/>
        <v>16</v>
      </c>
    </row>
    <row r="143" spans="1:8" x14ac:dyDescent="0.25">
      <c r="A143" s="10">
        <v>44703</v>
      </c>
      <c r="B143" s="11">
        <v>0.18682870370370369</v>
      </c>
      <c r="C143" s="11">
        <v>0.85854166666666665</v>
      </c>
      <c r="D143" s="12">
        <v>0</v>
      </c>
      <c r="E143" s="12">
        <v>14.1</v>
      </c>
      <c r="F143" s="12">
        <v>4.04</v>
      </c>
      <c r="G143" s="13">
        <v>2.86</v>
      </c>
      <c r="H143" s="18">
        <f t="shared" si="2"/>
        <v>16</v>
      </c>
    </row>
    <row r="144" spans="1:8" x14ac:dyDescent="0.25">
      <c r="A144" s="6">
        <v>44704</v>
      </c>
      <c r="B144" s="7">
        <v>0.18594907407407407</v>
      </c>
      <c r="C144" s="7">
        <v>0.85952546296296295</v>
      </c>
      <c r="D144" s="8">
        <v>8</v>
      </c>
      <c r="E144" s="8">
        <v>1.36</v>
      </c>
      <c r="F144" s="8">
        <v>0.57999999999999996</v>
      </c>
      <c r="G144" s="9">
        <v>4.95</v>
      </c>
      <c r="H144" s="18">
        <f t="shared" si="2"/>
        <v>16</v>
      </c>
    </row>
    <row r="145" spans="1:8" x14ac:dyDescent="0.25">
      <c r="A145" s="10">
        <v>44705</v>
      </c>
      <c r="B145" s="11">
        <v>0.18511574074074075</v>
      </c>
      <c r="C145" s="11">
        <v>0.86049768518518521</v>
      </c>
      <c r="D145" s="12">
        <v>8</v>
      </c>
      <c r="E145" s="12">
        <v>1.71</v>
      </c>
      <c r="F145" s="12">
        <v>0.14000000000000001</v>
      </c>
      <c r="G145" s="13">
        <v>3.51</v>
      </c>
      <c r="H145" s="18">
        <f t="shared" si="2"/>
        <v>16</v>
      </c>
    </row>
    <row r="146" spans="1:8" x14ac:dyDescent="0.25">
      <c r="A146" s="6">
        <v>44706</v>
      </c>
      <c r="B146" s="7">
        <v>0.18429398148148149</v>
      </c>
      <c r="C146" s="7">
        <v>0.86144675925925929</v>
      </c>
      <c r="D146" s="8">
        <v>6</v>
      </c>
      <c r="E146" s="8">
        <v>1.6</v>
      </c>
      <c r="F146" s="8">
        <v>0.94</v>
      </c>
      <c r="G146" s="9">
        <v>4.68</v>
      </c>
      <c r="H146" s="18">
        <f t="shared" si="2"/>
        <v>16</v>
      </c>
    </row>
    <row r="147" spans="1:8" x14ac:dyDescent="0.25">
      <c r="A147" s="10">
        <v>44707</v>
      </c>
      <c r="B147" s="11">
        <v>0.18351851851851853</v>
      </c>
      <c r="C147" s="11">
        <v>0.86237268518518517</v>
      </c>
      <c r="D147" s="12">
        <v>4</v>
      </c>
      <c r="E147" s="12">
        <v>2.0699999999999998</v>
      </c>
      <c r="F147" s="12">
        <v>1.05</v>
      </c>
      <c r="G147" s="13">
        <v>3.94</v>
      </c>
      <c r="H147" s="18">
        <f t="shared" si="2"/>
        <v>16</v>
      </c>
    </row>
    <row r="148" spans="1:8" x14ac:dyDescent="0.25">
      <c r="A148" s="6">
        <v>44708</v>
      </c>
      <c r="B148" s="7">
        <v>0.18276620370370369</v>
      </c>
      <c r="C148" s="7">
        <v>0.86328703703703702</v>
      </c>
      <c r="D148" s="8">
        <v>4</v>
      </c>
      <c r="E148" s="8">
        <v>2.96</v>
      </c>
      <c r="F148" s="8">
        <v>1.06</v>
      </c>
      <c r="G148" s="9">
        <v>3.59</v>
      </c>
      <c r="H148" s="18">
        <f t="shared" si="2"/>
        <v>16</v>
      </c>
    </row>
    <row r="149" spans="1:8" x14ac:dyDescent="0.25">
      <c r="A149" s="10">
        <v>44709</v>
      </c>
      <c r="B149" s="11">
        <v>0.18203703703703702</v>
      </c>
      <c r="C149" s="11">
        <v>0.86416666666666664</v>
      </c>
      <c r="D149" s="12">
        <v>3</v>
      </c>
      <c r="E149" s="12">
        <v>5.78</v>
      </c>
      <c r="F149" s="12">
        <v>4.2</v>
      </c>
      <c r="G149" s="13">
        <v>2.96</v>
      </c>
      <c r="H149" s="18">
        <f t="shared" si="2"/>
        <v>16</v>
      </c>
    </row>
    <row r="150" spans="1:8" x14ac:dyDescent="0.25">
      <c r="A150" s="6">
        <v>44710</v>
      </c>
      <c r="B150" s="7">
        <v>0.18135416666666668</v>
      </c>
      <c r="C150" s="7">
        <v>0.86504629629629626</v>
      </c>
      <c r="D150" s="8">
        <v>1</v>
      </c>
      <c r="E150" s="8">
        <v>15.38</v>
      </c>
      <c r="F150" s="8">
        <v>10.54</v>
      </c>
      <c r="G150" s="9">
        <v>2.16</v>
      </c>
      <c r="H150" s="18">
        <f t="shared" si="2"/>
        <v>16</v>
      </c>
    </row>
    <row r="151" spans="1:8" x14ac:dyDescent="0.25">
      <c r="A151" s="10">
        <v>44711</v>
      </c>
      <c r="B151" s="11">
        <v>0.18069444444444444</v>
      </c>
      <c r="C151" s="11">
        <v>0.86589120370370365</v>
      </c>
      <c r="D151" s="12">
        <v>1</v>
      </c>
      <c r="E151" s="12">
        <v>15.89</v>
      </c>
      <c r="F151" s="12">
        <v>9.68</v>
      </c>
      <c r="G151" s="13">
        <v>1.24</v>
      </c>
      <c r="H151" s="18">
        <f t="shared" si="2"/>
        <v>16</v>
      </c>
    </row>
    <row r="152" spans="1:8" x14ac:dyDescent="0.25">
      <c r="A152" s="6">
        <v>44712</v>
      </c>
      <c r="B152" s="7">
        <v>0.18006944444444445</v>
      </c>
      <c r="C152" s="7">
        <v>0.86671296296296296</v>
      </c>
      <c r="D152" s="8">
        <v>0</v>
      </c>
      <c r="E152" s="8">
        <v>18.7</v>
      </c>
      <c r="F152" s="8">
        <v>9.4</v>
      </c>
      <c r="G152" s="9">
        <v>0.39</v>
      </c>
      <c r="H152" s="18">
        <f t="shared" si="2"/>
        <v>16</v>
      </c>
    </row>
    <row r="153" spans="1:8" x14ac:dyDescent="0.25">
      <c r="A153" s="10">
        <v>44713</v>
      </c>
      <c r="B153" s="11">
        <v>0.17947916666666666</v>
      </c>
      <c r="C153" s="11">
        <v>0.86751157407407409</v>
      </c>
      <c r="D153" s="12">
        <v>0</v>
      </c>
      <c r="E153" s="12">
        <v>14.56</v>
      </c>
      <c r="F153" s="12">
        <v>3.3</v>
      </c>
      <c r="G153" s="13">
        <v>0.64</v>
      </c>
      <c r="H153" s="18">
        <f t="shared" si="2"/>
        <v>16</v>
      </c>
    </row>
    <row r="154" spans="1:8" x14ac:dyDescent="0.25">
      <c r="A154" s="6">
        <v>44714</v>
      </c>
      <c r="B154" s="7">
        <v>0.1789236111111111</v>
      </c>
      <c r="C154" s="7">
        <v>0.86828703703703702</v>
      </c>
      <c r="D154" s="8">
        <v>3</v>
      </c>
      <c r="E154" s="8">
        <v>5.87</v>
      </c>
      <c r="F154" s="8">
        <v>2.16</v>
      </c>
      <c r="G154" s="9">
        <v>2.14</v>
      </c>
      <c r="H154" s="18">
        <f t="shared" si="2"/>
        <v>16</v>
      </c>
    </row>
    <row r="155" spans="1:8" x14ac:dyDescent="0.25">
      <c r="A155" s="10">
        <v>44715</v>
      </c>
      <c r="B155" s="11">
        <v>0.17840277777777777</v>
      </c>
      <c r="C155" s="11">
        <v>0.86903935185185188</v>
      </c>
      <c r="D155" s="12">
        <v>0</v>
      </c>
      <c r="E155" s="12">
        <v>19.62</v>
      </c>
      <c r="F155" s="12">
        <v>9.23</v>
      </c>
      <c r="G155" s="13">
        <v>0.34</v>
      </c>
      <c r="H155" s="18">
        <f t="shared" si="2"/>
        <v>16</v>
      </c>
    </row>
    <row r="156" spans="1:8" x14ac:dyDescent="0.25">
      <c r="A156" s="6">
        <v>44716</v>
      </c>
      <c r="B156" s="7">
        <v>0.17791666666666667</v>
      </c>
      <c r="C156" s="7">
        <v>0.8697569444444444</v>
      </c>
      <c r="D156" s="8">
        <v>2</v>
      </c>
      <c r="E156" s="8">
        <v>5.79</v>
      </c>
      <c r="F156" s="8">
        <v>1.35</v>
      </c>
      <c r="G156" s="9">
        <v>1.1200000000000001</v>
      </c>
      <c r="H156" s="18">
        <f t="shared" si="2"/>
        <v>16</v>
      </c>
    </row>
    <row r="157" spans="1:8" x14ac:dyDescent="0.25">
      <c r="A157" s="10">
        <v>44717</v>
      </c>
      <c r="B157" s="11">
        <v>0.1774537037037037</v>
      </c>
      <c r="C157" s="11">
        <v>0.87045138888888884</v>
      </c>
      <c r="D157" s="12">
        <v>1</v>
      </c>
      <c r="E157" s="12">
        <v>10.67</v>
      </c>
      <c r="F157" s="12">
        <v>5.16</v>
      </c>
      <c r="G157" s="13">
        <v>2.68</v>
      </c>
      <c r="H157" s="18">
        <f t="shared" si="2"/>
        <v>16</v>
      </c>
    </row>
    <row r="158" spans="1:8" x14ac:dyDescent="0.25">
      <c r="A158" s="6">
        <v>44718</v>
      </c>
      <c r="B158" s="7">
        <v>0.17703703703703705</v>
      </c>
      <c r="C158" s="7">
        <v>0.87112268518518521</v>
      </c>
      <c r="D158" s="8">
        <v>0</v>
      </c>
      <c r="E158" s="8">
        <v>12.47</v>
      </c>
      <c r="F158" s="8">
        <v>3.15</v>
      </c>
      <c r="G158" s="9">
        <v>1.34</v>
      </c>
      <c r="H158" s="18">
        <f t="shared" si="2"/>
        <v>16</v>
      </c>
    </row>
    <row r="159" spans="1:8" x14ac:dyDescent="0.25">
      <c r="A159" s="10">
        <v>44719</v>
      </c>
      <c r="B159" s="11">
        <v>0.1766550925925926</v>
      </c>
      <c r="C159" s="11">
        <v>0.87175925925925923</v>
      </c>
      <c r="D159" s="12">
        <v>0</v>
      </c>
      <c r="E159" s="12">
        <v>19.79</v>
      </c>
      <c r="F159" s="12">
        <v>12.84</v>
      </c>
      <c r="G159" s="13">
        <v>3.5</v>
      </c>
      <c r="H159" s="18">
        <f t="shared" si="2"/>
        <v>16</v>
      </c>
    </row>
    <row r="160" spans="1:8" x14ac:dyDescent="0.25">
      <c r="A160" s="6">
        <v>44720</v>
      </c>
      <c r="B160" s="7">
        <v>0.17631944444444445</v>
      </c>
      <c r="C160" s="7">
        <v>0.87237268518518518</v>
      </c>
      <c r="D160" s="8">
        <v>0</v>
      </c>
      <c r="E160" s="8">
        <v>12.57</v>
      </c>
      <c r="F160" s="8">
        <v>6.64</v>
      </c>
      <c r="G160" s="9">
        <v>3.26</v>
      </c>
      <c r="H160" s="18">
        <f t="shared" si="2"/>
        <v>16</v>
      </c>
    </row>
    <row r="161" spans="1:8" x14ac:dyDescent="0.25">
      <c r="A161" s="10">
        <v>44721</v>
      </c>
      <c r="B161" s="11">
        <v>0.17600694444444445</v>
      </c>
      <c r="C161" s="11">
        <v>0.8729513888888889</v>
      </c>
      <c r="D161" s="12">
        <v>4</v>
      </c>
      <c r="E161" s="12">
        <v>4.3</v>
      </c>
      <c r="F161" s="12">
        <v>2.36</v>
      </c>
      <c r="G161" s="13">
        <v>3.54</v>
      </c>
      <c r="H161" s="18">
        <f t="shared" si="2"/>
        <v>16</v>
      </c>
    </row>
    <row r="162" spans="1:8" x14ac:dyDescent="0.25">
      <c r="A162" s="6">
        <v>44722</v>
      </c>
      <c r="B162" s="7">
        <v>0.17572916666666666</v>
      </c>
      <c r="C162" s="7">
        <v>0.87349537037037039</v>
      </c>
      <c r="D162" s="8">
        <v>1</v>
      </c>
      <c r="E162" s="8">
        <v>12.65</v>
      </c>
      <c r="F162" s="8">
        <v>6.94</v>
      </c>
      <c r="G162" s="9">
        <v>3.24</v>
      </c>
      <c r="H162" s="18">
        <f t="shared" si="2"/>
        <v>16</v>
      </c>
    </row>
    <row r="163" spans="1:8" x14ac:dyDescent="0.25">
      <c r="A163" s="10">
        <v>44723</v>
      </c>
      <c r="B163" s="11">
        <v>0.17549768518518519</v>
      </c>
      <c r="C163" s="11">
        <v>0.8740162037037037</v>
      </c>
      <c r="D163" s="12">
        <v>1</v>
      </c>
      <c r="E163" s="12">
        <v>8.86</v>
      </c>
      <c r="F163" s="12">
        <v>2.94</v>
      </c>
      <c r="G163" s="13">
        <v>1.68</v>
      </c>
      <c r="H163" s="18">
        <f t="shared" si="2"/>
        <v>16</v>
      </c>
    </row>
    <row r="164" spans="1:8" x14ac:dyDescent="0.25">
      <c r="A164" s="6">
        <v>44724</v>
      </c>
      <c r="B164" s="7">
        <v>0.17530092592592592</v>
      </c>
      <c r="C164" s="7">
        <v>0.87450231481481477</v>
      </c>
      <c r="D164" s="8">
        <v>3</v>
      </c>
      <c r="E164" s="8">
        <v>5.64</v>
      </c>
      <c r="F164" s="8">
        <v>4.25</v>
      </c>
      <c r="G164" s="9">
        <v>4.95</v>
      </c>
      <c r="H164" s="18">
        <f t="shared" si="2"/>
        <v>16</v>
      </c>
    </row>
    <row r="165" spans="1:8" x14ac:dyDescent="0.25">
      <c r="A165" s="10">
        <v>44725</v>
      </c>
      <c r="B165" s="11">
        <v>0.1751388888888889</v>
      </c>
      <c r="C165" s="11">
        <v>0.87495370370370373</v>
      </c>
      <c r="D165" s="12">
        <v>2</v>
      </c>
      <c r="E165" s="12">
        <v>6.89</v>
      </c>
      <c r="F165" s="12">
        <v>3.98</v>
      </c>
      <c r="G165" s="13">
        <v>2.4900000000000002</v>
      </c>
      <c r="H165" s="18">
        <f t="shared" si="2"/>
        <v>16</v>
      </c>
    </row>
    <row r="166" spans="1:8" x14ac:dyDescent="0.25">
      <c r="A166" s="6">
        <v>44726</v>
      </c>
      <c r="B166" s="7">
        <v>0.17501157407407408</v>
      </c>
      <c r="C166" s="7">
        <v>0.87537037037037035</v>
      </c>
      <c r="D166" s="8">
        <v>0</v>
      </c>
      <c r="E166" s="8">
        <v>14.03</v>
      </c>
      <c r="F166" s="8">
        <v>5.68</v>
      </c>
      <c r="G166" s="9">
        <v>2.95</v>
      </c>
      <c r="H166" s="18">
        <f t="shared" si="2"/>
        <v>16</v>
      </c>
    </row>
    <row r="167" spans="1:8" x14ac:dyDescent="0.25">
      <c r="A167" s="10">
        <v>44727</v>
      </c>
      <c r="B167" s="11">
        <v>0.17493055555555556</v>
      </c>
      <c r="C167" s="11">
        <v>0.87575231481481486</v>
      </c>
      <c r="D167" s="12">
        <v>1</v>
      </c>
      <c r="E167" s="12">
        <v>11.04</v>
      </c>
      <c r="F167" s="12">
        <v>4.9400000000000004</v>
      </c>
      <c r="G167" s="13">
        <v>3.41</v>
      </c>
      <c r="H167" s="18">
        <f t="shared" si="2"/>
        <v>16</v>
      </c>
    </row>
    <row r="168" spans="1:8" x14ac:dyDescent="0.25">
      <c r="A168" s="6">
        <v>44728</v>
      </c>
      <c r="B168" s="7">
        <v>0.17487268518518517</v>
      </c>
      <c r="C168" s="7">
        <v>0.87609953703703702</v>
      </c>
      <c r="D168" s="8">
        <v>0</v>
      </c>
      <c r="E168" s="8">
        <v>11.7</v>
      </c>
      <c r="F168" s="8">
        <v>4.79</v>
      </c>
      <c r="G168" s="9">
        <v>2.5099999999999998</v>
      </c>
      <c r="H168" s="18">
        <f t="shared" si="2"/>
        <v>16</v>
      </c>
    </row>
    <row r="169" spans="1:8" x14ac:dyDescent="0.25">
      <c r="A169" s="10">
        <v>44729</v>
      </c>
      <c r="B169" s="11">
        <v>0.17486111111111111</v>
      </c>
      <c r="C169" s="11">
        <v>0.87641203703703707</v>
      </c>
      <c r="D169" s="12">
        <v>3</v>
      </c>
      <c r="E169" s="12">
        <v>5.39</v>
      </c>
      <c r="F169" s="12">
        <v>4.6500000000000004</v>
      </c>
      <c r="G169" s="13">
        <v>4.25</v>
      </c>
      <c r="H169" s="18">
        <f t="shared" si="2"/>
        <v>16</v>
      </c>
    </row>
    <row r="170" spans="1:8" x14ac:dyDescent="0.25">
      <c r="A170" s="6">
        <v>44730</v>
      </c>
      <c r="B170" s="7">
        <v>0.17488425925925927</v>
      </c>
      <c r="C170" s="7">
        <v>0.87668981481481478</v>
      </c>
      <c r="D170" s="8">
        <v>0</v>
      </c>
      <c r="E170" s="8">
        <v>11.1</v>
      </c>
      <c r="F170" s="8">
        <v>4.6399999999999997</v>
      </c>
      <c r="G170" s="9">
        <v>3.54</v>
      </c>
      <c r="H170" s="18">
        <f t="shared" si="2"/>
        <v>16</v>
      </c>
    </row>
    <row r="171" spans="1:8" x14ac:dyDescent="0.25">
      <c r="A171" s="10">
        <v>44731</v>
      </c>
      <c r="B171" s="11">
        <v>0.17495370370370369</v>
      </c>
      <c r="C171" s="11">
        <v>0.87693287037037038</v>
      </c>
      <c r="D171" s="12">
        <v>0</v>
      </c>
      <c r="E171" s="12">
        <v>15.81</v>
      </c>
      <c r="F171" s="12">
        <v>7.63</v>
      </c>
      <c r="G171" s="13">
        <v>2.02</v>
      </c>
      <c r="H171" s="18">
        <f t="shared" si="2"/>
        <v>16</v>
      </c>
    </row>
    <row r="172" spans="1:8" x14ac:dyDescent="0.25">
      <c r="A172" s="6">
        <v>44732</v>
      </c>
      <c r="B172" s="7">
        <v>0.17504629629629628</v>
      </c>
      <c r="C172" s="7">
        <v>0.87712962962962959</v>
      </c>
      <c r="D172" s="8">
        <v>2</v>
      </c>
      <c r="E172" s="8">
        <v>8.8800000000000008</v>
      </c>
      <c r="F172" s="8">
        <v>6.14</v>
      </c>
      <c r="G172" s="9">
        <v>3.61</v>
      </c>
      <c r="H172" s="18">
        <f t="shared" si="2"/>
        <v>16</v>
      </c>
    </row>
    <row r="173" spans="1:8" x14ac:dyDescent="0.25">
      <c r="A173" s="10">
        <v>44733</v>
      </c>
      <c r="B173" s="11">
        <v>0.17518518518518519</v>
      </c>
      <c r="C173" s="11">
        <v>0.87730324074074073</v>
      </c>
      <c r="D173" s="12">
        <v>0</v>
      </c>
      <c r="E173" s="12">
        <v>14.44</v>
      </c>
      <c r="F173" s="12">
        <v>3.61</v>
      </c>
      <c r="G173" s="13">
        <v>0.56999999999999995</v>
      </c>
      <c r="H173" s="18">
        <f t="shared" si="2"/>
        <v>16</v>
      </c>
    </row>
    <row r="174" spans="1:8" x14ac:dyDescent="0.25">
      <c r="A174" s="6">
        <v>44734</v>
      </c>
      <c r="B174" s="7">
        <v>0.1753587962962963</v>
      </c>
      <c r="C174" s="7">
        <v>0.8774305555555556</v>
      </c>
      <c r="D174" s="8">
        <v>1</v>
      </c>
      <c r="E174" s="8">
        <v>9.7899999999999991</v>
      </c>
      <c r="F174" s="8">
        <v>4.8</v>
      </c>
      <c r="G174" s="9">
        <v>3.05</v>
      </c>
      <c r="H174" s="18">
        <f t="shared" si="2"/>
        <v>16</v>
      </c>
    </row>
    <row r="175" spans="1:8" x14ac:dyDescent="0.25">
      <c r="A175" s="10">
        <v>44735</v>
      </c>
      <c r="B175" s="11">
        <v>0.17556712962962964</v>
      </c>
      <c r="C175" s="11">
        <v>0.87752314814814814</v>
      </c>
      <c r="D175" s="12">
        <v>0</v>
      </c>
      <c r="E175" s="12">
        <v>14.78</v>
      </c>
      <c r="F175" s="12">
        <v>6.76</v>
      </c>
      <c r="G175" s="13">
        <v>3.64</v>
      </c>
      <c r="H175" s="18">
        <f t="shared" si="2"/>
        <v>16</v>
      </c>
    </row>
    <row r="176" spans="1:8" x14ac:dyDescent="0.25">
      <c r="A176" s="6">
        <v>44736</v>
      </c>
      <c r="B176" s="7">
        <v>0.17581018518518518</v>
      </c>
      <c r="C176" s="7">
        <v>0.87758101851851855</v>
      </c>
      <c r="D176" s="8">
        <v>0</v>
      </c>
      <c r="E176" s="8">
        <v>14.52</v>
      </c>
      <c r="F176" s="8">
        <v>8.19</v>
      </c>
      <c r="G176" s="9">
        <v>3.95</v>
      </c>
      <c r="H176" s="18">
        <f t="shared" si="2"/>
        <v>16</v>
      </c>
    </row>
    <row r="177" spans="1:8" x14ac:dyDescent="0.25">
      <c r="A177" s="10">
        <v>44737</v>
      </c>
      <c r="B177" s="11">
        <v>0.17608796296296297</v>
      </c>
      <c r="C177" s="11">
        <v>0.87759259259259259</v>
      </c>
      <c r="D177" s="12">
        <v>3</v>
      </c>
      <c r="E177" s="12">
        <v>5.86</v>
      </c>
      <c r="F177" s="12">
        <v>4.1900000000000004</v>
      </c>
      <c r="G177" s="13">
        <v>3.85</v>
      </c>
      <c r="H177" s="18">
        <f t="shared" si="2"/>
        <v>16</v>
      </c>
    </row>
    <row r="178" spans="1:8" x14ac:dyDescent="0.25">
      <c r="A178" s="6">
        <v>44738</v>
      </c>
      <c r="B178" s="7">
        <v>0.17640046296296297</v>
      </c>
      <c r="C178" s="7">
        <v>0.8775694444444444</v>
      </c>
      <c r="D178" s="8">
        <v>1</v>
      </c>
      <c r="E178" s="8">
        <v>12.81</v>
      </c>
      <c r="F178" s="8">
        <v>7.18</v>
      </c>
      <c r="G178" s="9">
        <v>1.54</v>
      </c>
      <c r="H178" s="18">
        <f t="shared" si="2"/>
        <v>16</v>
      </c>
    </row>
    <row r="179" spans="1:8" x14ac:dyDescent="0.25">
      <c r="A179" s="10">
        <v>44739</v>
      </c>
      <c r="B179" s="11">
        <v>0.17674768518518519</v>
      </c>
      <c r="C179" s="11">
        <v>0.8775115740740741</v>
      </c>
      <c r="D179" s="12">
        <v>0</v>
      </c>
      <c r="E179" s="12">
        <v>13.22</v>
      </c>
      <c r="F179" s="12">
        <v>5.53</v>
      </c>
      <c r="G179" s="13">
        <v>4.26</v>
      </c>
      <c r="H179" s="18">
        <f t="shared" si="2"/>
        <v>16</v>
      </c>
    </row>
    <row r="180" spans="1:8" x14ac:dyDescent="0.25">
      <c r="A180" s="6">
        <v>44740</v>
      </c>
      <c r="B180" s="7">
        <v>0.17712962962962964</v>
      </c>
      <c r="C180" s="7">
        <v>0.87741898148148145</v>
      </c>
      <c r="D180" s="8">
        <v>0</v>
      </c>
      <c r="E180" s="8">
        <v>14.18</v>
      </c>
      <c r="F180" s="8">
        <v>6.49</v>
      </c>
      <c r="G180" s="9">
        <v>3.84</v>
      </c>
      <c r="H180" s="18">
        <f t="shared" si="2"/>
        <v>16</v>
      </c>
    </row>
    <row r="181" spans="1:8" x14ac:dyDescent="0.25">
      <c r="A181" s="10">
        <v>44741</v>
      </c>
      <c r="B181" s="11">
        <v>0.17754629629629629</v>
      </c>
      <c r="C181" s="11">
        <v>0.87729166666666669</v>
      </c>
      <c r="D181" s="12">
        <v>0</v>
      </c>
      <c r="E181" s="12">
        <v>18.47</v>
      </c>
      <c r="F181" s="12">
        <v>9.1999999999999993</v>
      </c>
      <c r="G181" s="13">
        <v>2.4700000000000002</v>
      </c>
      <c r="H181" s="18">
        <f t="shared" si="2"/>
        <v>16</v>
      </c>
    </row>
    <row r="182" spans="1:8" x14ac:dyDescent="0.25">
      <c r="A182" s="6">
        <v>44742</v>
      </c>
      <c r="B182" s="7">
        <v>0.17799768518518519</v>
      </c>
      <c r="C182" s="7">
        <v>0.87711805555555555</v>
      </c>
      <c r="D182" s="8">
        <v>3</v>
      </c>
      <c r="E182" s="8">
        <v>6.81</v>
      </c>
      <c r="F182" s="8">
        <v>2.59</v>
      </c>
      <c r="G182" s="9">
        <v>1.95</v>
      </c>
      <c r="H182" s="18">
        <f t="shared" si="2"/>
        <v>16</v>
      </c>
    </row>
    <row r="183" spans="1:8" x14ac:dyDescent="0.25">
      <c r="A183" s="10">
        <v>44743</v>
      </c>
      <c r="B183" s="11">
        <v>0.17847222222222223</v>
      </c>
      <c r="C183" s="11">
        <v>0.87690972222222219</v>
      </c>
      <c r="D183" s="12">
        <v>2</v>
      </c>
      <c r="E183" s="12">
        <v>2.96</v>
      </c>
      <c r="F183" s="12">
        <v>1.54</v>
      </c>
      <c r="G183" s="13">
        <v>4.5199999999999996</v>
      </c>
      <c r="H183" s="18">
        <f t="shared" si="2"/>
        <v>16</v>
      </c>
    </row>
    <row r="184" spans="1:8" x14ac:dyDescent="0.25">
      <c r="A184" s="6">
        <v>44744</v>
      </c>
      <c r="B184" s="7">
        <v>0.17898148148148149</v>
      </c>
      <c r="C184" s="7">
        <v>0.87665509259259256</v>
      </c>
      <c r="D184" s="8">
        <v>0</v>
      </c>
      <c r="E184" s="8">
        <v>13.76</v>
      </c>
      <c r="F184" s="8">
        <v>7.09</v>
      </c>
      <c r="G184" s="9">
        <v>4.32</v>
      </c>
      <c r="H184" s="18">
        <f t="shared" si="2"/>
        <v>16</v>
      </c>
    </row>
    <row r="185" spans="1:8" x14ac:dyDescent="0.25">
      <c r="A185" s="10">
        <v>44745</v>
      </c>
      <c r="B185" s="11">
        <v>0.17952546296296296</v>
      </c>
      <c r="C185" s="11">
        <v>0.87637731481481485</v>
      </c>
      <c r="D185" s="12">
        <v>0</v>
      </c>
      <c r="E185" s="12">
        <v>17.920000000000002</v>
      </c>
      <c r="F185" s="12">
        <v>10.28</v>
      </c>
      <c r="G185" s="13">
        <v>2.65</v>
      </c>
      <c r="H185" s="18">
        <f t="shared" si="2"/>
        <v>16</v>
      </c>
    </row>
    <row r="186" spans="1:8" x14ac:dyDescent="0.25">
      <c r="A186" s="6">
        <v>44746</v>
      </c>
      <c r="B186" s="7">
        <v>0.18010416666666668</v>
      </c>
      <c r="C186" s="7">
        <v>0.87605324074074076</v>
      </c>
      <c r="D186" s="8">
        <v>0</v>
      </c>
      <c r="E186" s="8">
        <v>19.89</v>
      </c>
      <c r="F186" s="8">
        <v>10.64</v>
      </c>
      <c r="G186" s="9">
        <v>1.48</v>
      </c>
      <c r="H186" s="18">
        <f t="shared" si="2"/>
        <v>16</v>
      </c>
    </row>
    <row r="187" spans="1:8" x14ac:dyDescent="0.25">
      <c r="A187" s="10">
        <v>44747</v>
      </c>
      <c r="B187" s="11">
        <v>0.18069444444444444</v>
      </c>
      <c r="C187" s="11">
        <v>0.87569444444444444</v>
      </c>
      <c r="D187" s="12">
        <v>0</v>
      </c>
      <c r="E187" s="12">
        <v>19.149999999999999</v>
      </c>
      <c r="F187" s="12">
        <v>11.79</v>
      </c>
      <c r="G187" s="13">
        <v>2.95</v>
      </c>
      <c r="H187" s="18">
        <f t="shared" si="2"/>
        <v>16</v>
      </c>
    </row>
    <row r="188" spans="1:8" x14ac:dyDescent="0.25">
      <c r="A188" s="6">
        <v>44748</v>
      </c>
      <c r="B188" s="7">
        <v>0.18133101851851852</v>
      </c>
      <c r="C188" s="7">
        <v>0.8753009259259259</v>
      </c>
      <c r="D188" s="8">
        <v>1</v>
      </c>
      <c r="E188" s="8">
        <v>14.68</v>
      </c>
      <c r="F188" s="8">
        <v>11.32</v>
      </c>
      <c r="G188" s="9">
        <v>4.26</v>
      </c>
      <c r="H188" s="18">
        <f t="shared" si="2"/>
        <v>16</v>
      </c>
    </row>
    <row r="189" spans="1:8" x14ac:dyDescent="0.25">
      <c r="A189" s="10">
        <v>44749</v>
      </c>
      <c r="B189" s="11">
        <v>0.18199074074074073</v>
      </c>
      <c r="C189" s="11">
        <v>0.87487268518518524</v>
      </c>
      <c r="D189" s="12">
        <v>0</v>
      </c>
      <c r="E189" s="12">
        <v>16.95</v>
      </c>
      <c r="F189" s="12">
        <v>9.57</v>
      </c>
      <c r="G189" s="13">
        <v>3.24</v>
      </c>
      <c r="H189" s="18">
        <f t="shared" si="2"/>
        <v>16</v>
      </c>
    </row>
    <row r="190" spans="1:8" x14ac:dyDescent="0.25">
      <c r="A190" s="6">
        <v>44750</v>
      </c>
      <c r="B190" s="7">
        <v>0.18267361111111111</v>
      </c>
      <c r="C190" s="7">
        <v>0.87440972222222224</v>
      </c>
      <c r="D190" s="8">
        <v>1</v>
      </c>
      <c r="E190" s="8">
        <v>11.9</v>
      </c>
      <c r="F190" s="8">
        <v>7.34</v>
      </c>
      <c r="G190" s="9">
        <v>4.8099999999999996</v>
      </c>
      <c r="H190" s="18">
        <f t="shared" si="2"/>
        <v>16</v>
      </c>
    </row>
    <row r="191" spans="1:8" x14ac:dyDescent="0.25">
      <c r="A191" s="10">
        <v>44751</v>
      </c>
      <c r="B191" s="11">
        <v>0.18337962962962964</v>
      </c>
      <c r="C191" s="11">
        <v>0.87390046296296298</v>
      </c>
      <c r="D191" s="12">
        <v>0</v>
      </c>
      <c r="E191" s="12">
        <v>19.440000000000001</v>
      </c>
      <c r="F191" s="12">
        <v>11.14</v>
      </c>
      <c r="G191" s="13">
        <v>2.91</v>
      </c>
      <c r="H191" s="18">
        <f t="shared" si="2"/>
        <v>16</v>
      </c>
    </row>
    <row r="192" spans="1:8" x14ac:dyDescent="0.25">
      <c r="A192" s="6">
        <v>44752</v>
      </c>
      <c r="B192" s="7">
        <v>0.18412037037037038</v>
      </c>
      <c r="C192" s="7">
        <v>0.87336805555555552</v>
      </c>
      <c r="D192" s="8">
        <v>0</v>
      </c>
      <c r="E192" s="8">
        <v>19.54</v>
      </c>
      <c r="F192" s="8">
        <v>12.94</v>
      </c>
      <c r="G192" s="9">
        <v>3.47</v>
      </c>
      <c r="H192" s="18">
        <f t="shared" si="2"/>
        <v>16</v>
      </c>
    </row>
    <row r="193" spans="1:8" x14ac:dyDescent="0.25">
      <c r="A193" s="10">
        <v>44753</v>
      </c>
      <c r="B193" s="11">
        <v>0.18487268518518518</v>
      </c>
      <c r="C193" s="11">
        <v>0.87280092592592595</v>
      </c>
      <c r="D193" s="12">
        <v>0</v>
      </c>
      <c r="E193" s="12">
        <v>18.52</v>
      </c>
      <c r="F193" s="12">
        <v>12.35</v>
      </c>
      <c r="G193" s="13">
        <v>1.85</v>
      </c>
      <c r="H193" s="18">
        <f t="shared" si="2"/>
        <v>16</v>
      </c>
    </row>
    <row r="194" spans="1:8" x14ac:dyDescent="0.25">
      <c r="A194" s="6">
        <v>44754</v>
      </c>
      <c r="B194" s="7">
        <v>0.18565972222222221</v>
      </c>
      <c r="C194" s="7">
        <v>0.8721875</v>
      </c>
      <c r="D194" s="8">
        <v>0</v>
      </c>
      <c r="E194" s="8">
        <v>19.77</v>
      </c>
      <c r="F194" s="8">
        <v>11.78</v>
      </c>
      <c r="G194" s="9">
        <v>1.95</v>
      </c>
      <c r="H194" s="18">
        <f t="shared" si="2"/>
        <v>16</v>
      </c>
    </row>
    <row r="195" spans="1:8" x14ac:dyDescent="0.25">
      <c r="A195" s="10">
        <v>44755</v>
      </c>
      <c r="B195" s="11">
        <v>0.1864699074074074</v>
      </c>
      <c r="C195" s="11">
        <v>0.87155092592592598</v>
      </c>
      <c r="D195" s="12">
        <v>0</v>
      </c>
      <c r="E195" s="12">
        <v>17.22</v>
      </c>
      <c r="F195" s="12">
        <v>9.69</v>
      </c>
      <c r="G195" s="13">
        <v>2.84</v>
      </c>
      <c r="H195" s="18">
        <f t="shared" ref="H195:H258" si="3">INT((C195-B195)*24)</f>
        <v>16</v>
      </c>
    </row>
    <row r="196" spans="1:8" x14ac:dyDescent="0.25">
      <c r="A196" s="6">
        <v>44756</v>
      </c>
      <c r="B196" s="7">
        <v>0.18729166666666666</v>
      </c>
      <c r="C196" s="7">
        <v>0.87087962962962961</v>
      </c>
      <c r="D196" s="8">
        <v>1</v>
      </c>
      <c r="E196" s="8">
        <v>14.02</v>
      </c>
      <c r="F196" s="8">
        <v>8.5399999999999991</v>
      </c>
      <c r="G196" s="9">
        <v>2.69</v>
      </c>
      <c r="H196" s="18">
        <f t="shared" si="3"/>
        <v>16</v>
      </c>
    </row>
    <row r="197" spans="1:8" x14ac:dyDescent="0.25">
      <c r="A197" s="10">
        <v>44757</v>
      </c>
      <c r="B197" s="11">
        <v>0.18813657407407408</v>
      </c>
      <c r="C197" s="11">
        <v>0.87017361111111113</v>
      </c>
      <c r="D197" s="12">
        <v>1</v>
      </c>
      <c r="E197" s="12">
        <v>15.96</v>
      </c>
      <c r="F197" s="12">
        <v>11.95</v>
      </c>
      <c r="G197" s="13">
        <v>3.05</v>
      </c>
      <c r="H197" s="18">
        <f t="shared" si="3"/>
        <v>16</v>
      </c>
    </row>
    <row r="198" spans="1:8" x14ac:dyDescent="0.25">
      <c r="A198" s="6">
        <v>44758</v>
      </c>
      <c r="B198" s="7">
        <v>0.1890162037037037</v>
      </c>
      <c r="C198" s="7">
        <v>0.86944444444444446</v>
      </c>
      <c r="D198" s="8">
        <v>1</v>
      </c>
      <c r="E198" s="8">
        <v>15.06</v>
      </c>
      <c r="F198" s="8">
        <v>7.68</v>
      </c>
      <c r="G198" s="9">
        <v>1.1599999999999999</v>
      </c>
      <c r="H198" s="18">
        <f t="shared" si="3"/>
        <v>16</v>
      </c>
    </row>
    <row r="199" spans="1:8" x14ac:dyDescent="0.25">
      <c r="A199" s="10">
        <v>44759</v>
      </c>
      <c r="B199" s="11">
        <v>0.18989583333333335</v>
      </c>
      <c r="C199" s="11">
        <v>0.86868055555555557</v>
      </c>
      <c r="D199" s="12">
        <v>0</v>
      </c>
      <c r="E199" s="12">
        <v>19.62</v>
      </c>
      <c r="F199" s="12">
        <v>10.19</v>
      </c>
      <c r="G199" s="13">
        <v>0.47</v>
      </c>
      <c r="H199" s="18">
        <f t="shared" si="3"/>
        <v>16</v>
      </c>
    </row>
    <row r="200" spans="1:8" x14ac:dyDescent="0.25">
      <c r="A200" s="6">
        <v>44760</v>
      </c>
      <c r="B200" s="7">
        <v>0.19081018518518519</v>
      </c>
      <c r="C200" s="7">
        <v>0.86788194444444444</v>
      </c>
      <c r="D200" s="8">
        <v>0</v>
      </c>
      <c r="E200" s="8">
        <v>18.97</v>
      </c>
      <c r="F200" s="8">
        <v>8.85</v>
      </c>
      <c r="G200" s="9">
        <v>1.66</v>
      </c>
      <c r="H200" s="18">
        <f t="shared" si="3"/>
        <v>16</v>
      </c>
    </row>
    <row r="201" spans="1:8" x14ac:dyDescent="0.25">
      <c r="A201" s="10">
        <v>44761</v>
      </c>
      <c r="B201" s="11">
        <v>0.19172453703703704</v>
      </c>
      <c r="C201" s="11">
        <v>0.86704861111111109</v>
      </c>
      <c r="D201" s="12">
        <v>0</v>
      </c>
      <c r="E201" s="12">
        <v>17.940000000000001</v>
      </c>
      <c r="F201" s="12">
        <v>9.83</v>
      </c>
      <c r="G201" s="13">
        <v>3.13</v>
      </c>
      <c r="H201" s="18">
        <f t="shared" si="3"/>
        <v>16</v>
      </c>
    </row>
    <row r="202" spans="1:8" x14ac:dyDescent="0.25">
      <c r="A202" s="6">
        <v>44762</v>
      </c>
      <c r="B202" s="7">
        <v>0.19267361111111111</v>
      </c>
      <c r="C202" s="7">
        <v>0.86619212962962966</v>
      </c>
      <c r="D202" s="8">
        <v>0</v>
      </c>
      <c r="E202" s="8">
        <v>17.350000000000001</v>
      </c>
      <c r="F202" s="8">
        <v>11.02</v>
      </c>
      <c r="G202" s="9">
        <v>2.82</v>
      </c>
      <c r="H202" s="18">
        <f t="shared" si="3"/>
        <v>16</v>
      </c>
    </row>
    <row r="203" spans="1:8" x14ac:dyDescent="0.25">
      <c r="A203" s="10">
        <v>44763</v>
      </c>
      <c r="B203" s="11">
        <v>0.19362268518518519</v>
      </c>
      <c r="C203" s="11">
        <v>0.86531250000000004</v>
      </c>
      <c r="D203" s="12">
        <v>0</v>
      </c>
      <c r="E203" s="12">
        <v>18.3</v>
      </c>
      <c r="F203" s="12">
        <v>10.96</v>
      </c>
      <c r="G203" s="13">
        <v>2.14</v>
      </c>
      <c r="H203" s="18">
        <f t="shared" si="3"/>
        <v>16</v>
      </c>
    </row>
    <row r="204" spans="1:8" x14ac:dyDescent="0.25">
      <c r="A204" s="6">
        <v>44764</v>
      </c>
      <c r="B204" s="7">
        <v>0.1945949074074074</v>
      </c>
      <c r="C204" s="7">
        <v>0.86439814814814819</v>
      </c>
      <c r="D204" s="8">
        <v>0</v>
      </c>
      <c r="E204" s="8">
        <v>17.04</v>
      </c>
      <c r="F204" s="8">
        <v>9.85</v>
      </c>
      <c r="G204" s="9">
        <v>2.2599999999999998</v>
      </c>
      <c r="H204" s="18">
        <f t="shared" si="3"/>
        <v>16</v>
      </c>
    </row>
    <row r="205" spans="1:8" x14ac:dyDescent="0.25">
      <c r="A205" s="10">
        <v>44765</v>
      </c>
      <c r="B205" s="11">
        <v>0.1955787037037037</v>
      </c>
      <c r="C205" s="11">
        <v>0.86346064814814816</v>
      </c>
      <c r="D205" s="12">
        <v>0</v>
      </c>
      <c r="E205" s="12">
        <v>18.850000000000001</v>
      </c>
      <c r="F205" s="12">
        <v>11.75</v>
      </c>
      <c r="G205" s="13">
        <v>2.94</v>
      </c>
      <c r="H205" s="18">
        <f t="shared" si="3"/>
        <v>16</v>
      </c>
    </row>
    <row r="206" spans="1:8" x14ac:dyDescent="0.25">
      <c r="A206" s="6">
        <v>44766</v>
      </c>
      <c r="B206" s="7">
        <v>0.19658564814814813</v>
      </c>
      <c r="C206" s="7">
        <v>0.86248842592592589</v>
      </c>
      <c r="D206" s="8">
        <v>0</v>
      </c>
      <c r="E206" s="8">
        <v>16.55</v>
      </c>
      <c r="F206" s="8">
        <v>8.33</v>
      </c>
      <c r="G206" s="9">
        <v>1.56</v>
      </c>
      <c r="H206" s="18">
        <f t="shared" si="3"/>
        <v>15</v>
      </c>
    </row>
    <row r="207" spans="1:8" x14ac:dyDescent="0.25">
      <c r="A207" s="10">
        <v>44767</v>
      </c>
      <c r="B207" s="11">
        <v>0.1975925925925926</v>
      </c>
      <c r="C207" s="11">
        <v>0.86149305555555555</v>
      </c>
      <c r="D207" s="12">
        <v>1</v>
      </c>
      <c r="E207" s="12">
        <v>13.83</v>
      </c>
      <c r="F207" s="12">
        <v>8.1999999999999993</v>
      </c>
      <c r="G207" s="13">
        <v>3.02</v>
      </c>
      <c r="H207" s="18">
        <f t="shared" si="3"/>
        <v>15</v>
      </c>
    </row>
    <row r="208" spans="1:8" x14ac:dyDescent="0.25">
      <c r="A208" s="6">
        <v>44768</v>
      </c>
      <c r="B208" s="7">
        <v>0.19862268518518519</v>
      </c>
      <c r="C208" s="7">
        <v>0.86047453703703702</v>
      </c>
      <c r="D208" s="8">
        <v>0</v>
      </c>
      <c r="E208" s="8">
        <v>16.16</v>
      </c>
      <c r="F208" s="8">
        <v>8.9499999999999993</v>
      </c>
      <c r="G208" s="9">
        <v>2.09</v>
      </c>
      <c r="H208" s="18">
        <f t="shared" si="3"/>
        <v>15</v>
      </c>
    </row>
    <row r="209" spans="1:8" x14ac:dyDescent="0.25">
      <c r="A209" s="10">
        <v>44769</v>
      </c>
      <c r="B209" s="11">
        <v>0.19965277777777779</v>
      </c>
      <c r="C209" s="11">
        <v>0.85942129629629627</v>
      </c>
      <c r="D209" s="12">
        <v>0</v>
      </c>
      <c r="E209" s="12">
        <v>17.82</v>
      </c>
      <c r="F209" s="12">
        <v>10.94</v>
      </c>
      <c r="G209" s="13">
        <v>3.66</v>
      </c>
      <c r="H209" s="18">
        <f t="shared" si="3"/>
        <v>15</v>
      </c>
    </row>
    <row r="210" spans="1:8" x14ac:dyDescent="0.25">
      <c r="A210" s="6">
        <v>44770</v>
      </c>
      <c r="B210" s="7">
        <v>0.20069444444444445</v>
      </c>
      <c r="C210" s="7">
        <v>0.85835648148148147</v>
      </c>
      <c r="D210" s="8">
        <v>0</v>
      </c>
      <c r="E210" s="8">
        <v>19.23</v>
      </c>
      <c r="F210" s="8">
        <v>10.19</v>
      </c>
      <c r="G210" s="9">
        <v>2.0299999999999998</v>
      </c>
      <c r="H210" s="18">
        <f t="shared" si="3"/>
        <v>15</v>
      </c>
    </row>
    <row r="211" spans="1:8" x14ac:dyDescent="0.25">
      <c r="A211" s="10">
        <v>44771</v>
      </c>
      <c r="B211" s="11">
        <v>0.20175925925925925</v>
      </c>
      <c r="C211" s="11">
        <v>0.85725694444444445</v>
      </c>
      <c r="D211" s="12">
        <v>0</v>
      </c>
      <c r="E211" s="12">
        <v>18.59</v>
      </c>
      <c r="F211" s="12">
        <v>10.29</v>
      </c>
      <c r="G211" s="13">
        <v>1.74</v>
      </c>
      <c r="H211" s="18">
        <f t="shared" si="3"/>
        <v>15</v>
      </c>
    </row>
    <row r="212" spans="1:8" x14ac:dyDescent="0.25">
      <c r="A212" s="6">
        <v>44772</v>
      </c>
      <c r="B212" s="7">
        <v>0.20282407407407407</v>
      </c>
      <c r="C212" s="7">
        <v>0.85614583333333338</v>
      </c>
      <c r="D212" s="8">
        <v>1</v>
      </c>
      <c r="E212" s="8">
        <v>14.2</v>
      </c>
      <c r="F212" s="8">
        <v>10.59</v>
      </c>
      <c r="G212" s="9">
        <v>4.04</v>
      </c>
      <c r="H212" s="18">
        <f t="shared" si="3"/>
        <v>15</v>
      </c>
    </row>
    <row r="213" spans="1:8" x14ac:dyDescent="0.25">
      <c r="A213" s="10">
        <v>44773</v>
      </c>
      <c r="B213" s="11">
        <v>0.2038888888888889</v>
      </c>
      <c r="C213" s="11">
        <v>0.85499999999999998</v>
      </c>
      <c r="D213" s="12">
        <v>1</v>
      </c>
      <c r="E213" s="12">
        <v>13.79</v>
      </c>
      <c r="F213" s="12">
        <v>8.49</v>
      </c>
      <c r="G213" s="13">
        <v>2.38</v>
      </c>
      <c r="H213" s="18">
        <f t="shared" si="3"/>
        <v>15</v>
      </c>
    </row>
    <row r="214" spans="1:8" x14ac:dyDescent="0.25">
      <c r="A214" s="6">
        <v>44774</v>
      </c>
      <c r="B214" s="7">
        <v>0.20497685185185185</v>
      </c>
      <c r="C214" s="7">
        <v>0.85384259259259254</v>
      </c>
      <c r="D214" s="8">
        <v>1</v>
      </c>
      <c r="E214" s="8">
        <v>15.96</v>
      </c>
      <c r="F214" s="8">
        <v>9.48</v>
      </c>
      <c r="G214" s="9">
        <v>1.78</v>
      </c>
      <c r="H214" s="18">
        <f t="shared" si="3"/>
        <v>15</v>
      </c>
    </row>
    <row r="215" spans="1:8" x14ac:dyDescent="0.25">
      <c r="A215" s="10">
        <v>44775</v>
      </c>
      <c r="B215" s="11">
        <v>0.20606481481481481</v>
      </c>
      <c r="C215" s="11">
        <v>0.85266203703703702</v>
      </c>
      <c r="D215" s="12">
        <v>0</v>
      </c>
      <c r="E215" s="12">
        <v>18.86</v>
      </c>
      <c r="F215" s="12">
        <v>12.56</v>
      </c>
      <c r="G215" s="13">
        <v>4.93</v>
      </c>
      <c r="H215" s="18">
        <f t="shared" si="3"/>
        <v>15</v>
      </c>
    </row>
    <row r="216" spans="1:8" x14ac:dyDescent="0.25">
      <c r="A216" s="6">
        <v>44776</v>
      </c>
      <c r="B216" s="7">
        <v>0.20716435185185186</v>
      </c>
      <c r="C216" s="7">
        <v>0.85145833333333332</v>
      </c>
      <c r="D216" s="8">
        <v>0</v>
      </c>
      <c r="E216" s="8">
        <v>18.12</v>
      </c>
      <c r="F216" s="8">
        <v>9.15</v>
      </c>
      <c r="G216" s="9">
        <v>2.87</v>
      </c>
      <c r="H216" s="18">
        <f t="shared" si="3"/>
        <v>15</v>
      </c>
    </row>
    <row r="217" spans="1:8" x14ac:dyDescent="0.25">
      <c r="A217" s="10">
        <v>44777</v>
      </c>
      <c r="B217" s="11">
        <v>0.20826388888888889</v>
      </c>
      <c r="C217" s="11">
        <v>0.85023148148148153</v>
      </c>
      <c r="D217" s="12">
        <v>0</v>
      </c>
      <c r="E217" s="12">
        <v>19.88</v>
      </c>
      <c r="F217" s="12">
        <v>10.14</v>
      </c>
      <c r="G217" s="13">
        <v>1.94</v>
      </c>
      <c r="H217" s="18">
        <f t="shared" si="3"/>
        <v>15</v>
      </c>
    </row>
    <row r="218" spans="1:8" x14ac:dyDescent="0.25">
      <c r="A218" s="6">
        <v>44778</v>
      </c>
      <c r="B218" s="7">
        <v>0.20937500000000001</v>
      </c>
      <c r="C218" s="7">
        <v>0.84898148148148145</v>
      </c>
      <c r="D218" s="8">
        <v>1</v>
      </c>
      <c r="E218" s="8">
        <v>12.71</v>
      </c>
      <c r="F218" s="8">
        <v>8.08</v>
      </c>
      <c r="G218" s="9">
        <v>2.89</v>
      </c>
      <c r="H218" s="18">
        <f t="shared" si="3"/>
        <v>15</v>
      </c>
    </row>
    <row r="219" spans="1:8" x14ac:dyDescent="0.25">
      <c r="A219" s="10">
        <v>44779</v>
      </c>
      <c r="B219" s="11">
        <v>0.21048611111111112</v>
      </c>
      <c r="C219" s="11">
        <v>0.84771990740740744</v>
      </c>
      <c r="D219" s="12">
        <v>1</v>
      </c>
      <c r="E219" s="12">
        <v>11.46</v>
      </c>
      <c r="F219" s="12">
        <v>7.01</v>
      </c>
      <c r="G219" s="13">
        <v>2.95</v>
      </c>
      <c r="H219" s="18">
        <f t="shared" si="3"/>
        <v>15</v>
      </c>
    </row>
    <row r="220" spans="1:8" x14ac:dyDescent="0.25">
      <c r="A220" s="6">
        <v>44780</v>
      </c>
      <c r="B220" s="7">
        <v>0.21159722222222221</v>
      </c>
      <c r="C220" s="7">
        <v>0.84644675925925927</v>
      </c>
      <c r="D220" s="8">
        <v>0</v>
      </c>
      <c r="E220" s="8">
        <v>18.38</v>
      </c>
      <c r="F220" s="8">
        <v>11.16</v>
      </c>
      <c r="G220" s="9">
        <v>3.69</v>
      </c>
      <c r="H220" s="18">
        <f t="shared" si="3"/>
        <v>15</v>
      </c>
    </row>
    <row r="221" spans="1:8" x14ac:dyDescent="0.25">
      <c r="A221" s="10">
        <v>44781</v>
      </c>
      <c r="B221" s="11">
        <v>0.2127199074074074</v>
      </c>
      <c r="C221" s="11">
        <v>0.84513888888888888</v>
      </c>
      <c r="D221" s="12">
        <v>0</v>
      </c>
      <c r="E221" s="12">
        <v>15.21</v>
      </c>
      <c r="F221" s="12">
        <v>6.71</v>
      </c>
      <c r="G221" s="13">
        <v>3.21</v>
      </c>
      <c r="H221" s="18">
        <f t="shared" si="3"/>
        <v>15</v>
      </c>
    </row>
    <row r="222" spans="1:8" x14ac:dyDescent="0.25">
      <c r="A222" s="6">
        <v>44782</v>
      </c>
      <c r="B222" s="7">
        <v>0.21384259259259258</v>
      </c>
      <c r="C222" s="7">
        <v>0.84381944444444446</v>
      </c>
      <c r="D222" s="8">
        <v>0</v>
      </c>
      <c r="E222" s="8">
        <v>19.329999999999998</v>
      </c>
      <c r="F222" s="8">
        <v>10.19</v>
      </c>
      <c r="G222" s="9">
        <v>1.54</v>
      </c>
      <c r="H222" s="18">
        <f t="shared" si="3"/>
        <v>15</v>
      </c>
    </row>
    <row r="223" spans="1:8" x14ac:dyDescent="0.25">
      <c r="A223" s="10">
        <v>44783</v>
      </c>
      <c r="B223" s="11">
        <v>0.21497685185185186</v>
      </c>
      <c r="C223" s="11">
        <v>0.84248842592592588</v>
      </c>
      <c r="D223" s="12">
        <v>0</v>
      </c>
      <c r="E223" s="12">
        <v>19.829999999999998</v>
      </c>
      <c r="F223" s="12">
        <v>12.94</v>
      </c>
      <c r="G223" s="13">
        <v>3.94</v>
      </c>
      <c r="H223" s="18">
        <f t="shared" si="3"/>
        <v>15</v>
      </c>
    </row>
    <row r="224" spans="1:8" x14ac:dyDescent="0.25">
      <c r="A224" s="6">
        <v>44784</v>
      </c>
      <c r="B224" s="7">
        <v>0.21611111111111111</v>
      </c>
      <c r="C224" s="7">
        <v>0.84114583333333337</v>
      </c>
      <c r="D224" s="8">
        <v>0</v>
      </c>
      <c r="E224" s="8">
        <v>15.68</v>
      </c>
      <c r="F224" s="8">
        <v>6.85</v>
      </c>
      <c r="G224" s="9">
        <v>2.4900000000000002</v>
      </c>
      <c r="H224" s="18">
        <f t="shared" si="3"/>
        <v>15</v>
      </c>
    </row>
    <row r="225" spans="1:8" x14ac:dyDescent="0.25">
      <c r="A225" s="10">
        <v>44785</v>
      </c>
      <c r="B225" s="11">
        <v>0.21724537037037037</v>
      </c>
      <c r="C225" s="11">
        <v>0.83978009259259256</v>
      </c>
      <c r="D225" s="12">
        <v>1</v>
      </c>
      <c r="E225" s="12">
        <v>10.43</v>
      </c>
      <c r="F225" s="12">
        <v>5.19</v>
      </c>
      <c r="G225" s="13">
        <v>2.76</v>
      </c>
      <c r="H225" s="18">
        <f t="shared" si="3"/>
        <v>14</v>
      </c>
    </row>
    <row r="226" spans="1:8" x14ac:dyDescent="0.25">
      <c r="A226" s="6">
        <v>44786</v>
      </c>
      <c r="B226" s="7">
        <v>0.21837962962962962</v>
      </c>
      <c r="C226" s="7">
        <v>0.83839120370370368</v>
      </c>
      <c r="D226" s="8">
        <v>0</v>
      </c>
      <c r="E226" s="8">
        <v>17.89</v>
      </c>
      <c r="F226" s="8">
        <v>7.23</v>
      </c>
      <c r="G226" s="9">
        <v>0.49</v>
      </c>
      <c r="H226" s="18">
        <f t="shared" si="3"/>
        <v>14</v>
      </c>
    </row>
    <row r="227" spans="1:8" x14ac:dyDescent="0.25">
      <c r="A227" s="10">
        <v>44787</v>
      </c>
      <c r="B227" s="11">
        <v>0.21952546296296296</v>
      </c>
      <c r="C227" s="11">
        <v>0.8370023148148148</v>
      </c>
      <c r="D227" s="12">
        <v>0</v>
      </c>
      <c r="E227" s="12">
        <v>17.03</v>
      </c>
      <c r="F227" s="12">
        <v>9.32</v>
      </c>
      <c r="G227" s="13">
        <v>3.67</v>
      </c>
      <c r="H227" s="18">
        <f t="shared" si="3"/>
        <v>14</v>
      </c>
    </row>
    <row r="228" spans="1:8" x14ac:dyDescent="0.25">
      <c r="A228" s="6">
        <v>44788</v>
      </c>
      <c r="B228" s="7">
        <v>0.22065972222222222</v>
      </c>
      <c r="C228" s="7">
        <v>0.83559027777777772</v>
      </c>
      <c r="D228" s="8">
        <v>0</v>
      </c>
      <c r="E228" s="8">
        <v>19.920000000000002</v>
      </c>
      <c r="F228" s="8">
        <v>12.25</v>
      </c>
      <c r="G228" s="9">
        <v>1.77</v>
      </c>
      <c r="H228" s="18">
        <f t="shared" si="3"/>
        <v>14</v>
      </c>
    </row>
    <row r="229" spans="1:8" x14ac:dyDescent="0.25">
      <c r="A229" s="10">
        <v>44789</v>
      </c>
      <c r="B229" s="11">
        <v>0.22180555555555556</v>
      </c>
      <c r="C229" s="11">
        <v>0.83416666666666661</v>
      </c>
      <c r="D229" s="12">
        <v>0</v>
      </c>
      <c r="E229" s="12">
        <v>16.059999999999999</v>
      </c>
      <c r="F229" s="12">
        <v>7.46</v>
      </c>
      <c r="G229" s="13">
        <v>2.1800000000000002</v>
      </c>
      <c r="H229" s="18">
        <f t="shared" si="3"/>
        <v>14</v>
      </c>
    </row>
    <row r="230" spans="1:8" x14ac:dyDescent="0.25">
      <c r="A230" s="6">
        <v>44790</v>
      </c>
      <c r="B230" s="7">
        <v>0.22295138888888888</v>
      </c>
      <c r="C230" s="7">
        <v>0.83273148148148146</v>
      </c>
      <c r="D230" s="8">
        <v>0</v>
      </c>
      <c r="E230" s="8">
        <v>18.84</v>
      </c>
      <c r="F230" s="8">
        <v>10.64</v>
      </c>
      <c r="G230" s="9">
        <v>3.51</v>
      </c>
      <c r="H230" s="18">
        <f t="shared" si="3"/>
        <v>14</v>
      </c>
    </row>
    <row r="231" spans="1:8" x14ac:dyDescent="0.25">
      <c r="A231" s="10">
        <v>44791</v>
      </c>
      <c r="B231" s="11">
        <v>0.22409722222222223</v>
      </c>
      <c r="C231" s="11">
        <v>0.83127314814814812</v>
      </c>
      <c r="D231" s="12">
        <v>0</v>
      </c>
      <c r="E231" s="12">
        <v>18.97</v>
      </c>
      <c r="F231" s="12">
        <v>10.97</v>
      </c>
      <c r="G231" s="13">
        <v>3.09</v>
      </c>
      <c r="H231" s="18">
        <f t="shared" si="3"/>
        <v>14</v>
      </c>
    </row>
    <row r="232" spans="1:8" x14ac:dyDescent="0.25">
      <c r="A232" s="6">
        <v>44792</v>
      </c>
      <c r="B232" s="7">
        <v>0.22524305555555554</v>
      </c>
      <c r="C232" s="7">
        <v>0.82981481481481478</v>
      </c>
      <c r="D232" s="8">
        <v>1</v>
      </c>
      <c r="E232" s="8">
        <v>11.99</v>
      </c>
      <c r="F232" s="8">
        <v>7.68</v>
      </c>
      <c r="G232" s="9">
        <v>3.68</v>
      </c>
      <c r="H232" s="18">
        <f t="shared" si="3"/>
        <v>14</v>
      </c>
    </row>
    <row r="233" spans="1:8" x14ac:dyDescent="0.25">
      <c r="A233" s="10">
        <v>44793</v>
      </c>
      <c r="B233" s="11">
        <v>0.22638888888888889</v>
      </c>
      <c r="C233" s="11">
        <v>0.8283449074074074</v>
      </c>
      <c r="D233" s="12">
        <v>0</v>
      </c>
      <c r="E233" s="12">
        <v>19.649999999999999</v>
      </c>
      <c r="F233" s="12">
        <v>11.94</v>
      </c>
      <c r="G233" s="13">
        <v>3.66</v>
      </c>
      <c r="H233" s="18">
        <f t="shared" si="3"/>
        <v>14</v>
      </c>
    </row>
    <row r="234" spans="1:8" x14ac:dyDescent="0.25">
      <c r="A234" s="6">
        <v>44794</v>
      </c>
      <c r="B234" s="7">
        <v>0.22753472222222224</v>
      </c>
      <c r="C234" s="7">
        <v>0.82685185185185184</v>
      </c>
      <c r="D234" s="8">
        <v>1</v>
      </c>
      <c r="E234" s="8">
        <v>13.19</v>
      </c>
      <c r="F234" s="8">
        <v>8.34</v>
      </c>
      <c r="G234" s="9">
        <v>2.4</v>
      </c>
      <c r="H234" s="18">
        <f t="shared" si="3"/>
        <v>14</v>
      </c>
    </row>
    <row r="235" spans="1:8" x14ac:dyDescent="0.25">
      <c r="A235" s="10">
        <v>44795</v>
      </c>
      <c r="B235" s="11">
        <v>0.22868055555555555</v>
      </c>
      <c r="C235" s="11">
        <v>0.82535879629629627</v>
      </c>
      <c r="D235" s="12">
        <v>1</v>
      </c>
      <c r="E235" s="12">
        <v>14.17</v>
      </c>
      <c r="F235" s="12">
        <v>9.9700000000000006</v>
      </c>
      <c r="G235" s="13">
        <v>3.16</v>
      </c>
      <c r="H235" s="18">
        <f t="shared" si="3"/>
        <v>14</v>
      </c>
    </row>
    <row r="236" spans="1:8" x14ac:dyDescent="0.25">
      <c r="A236" s="6">
        <v>44796</v>
      </c>
      <c r="B236" s="7">
        <v>0.2298263888888889</v>
      </c>
      <c r="C236" s="7">
        <v>0.82385416666666667</v>
      </c>
      <c r="D236" s="8">
        <v>1</v>
      </c>
      <c r="E236" s="8">
        <v>12.08</v>
      </c>
      <c r="F236" s="8">
        <v>6.96</v>
      </c>
      <c r="G236" s="9">
        <v>2.23</v>
      </c>
      <c r="H236" s="18">
        <f t="shared" si="3"/>
        <v>14</v>
      </c>
    </row>
    <row r="237" spans="1:8" x14ac:dyDescent="0.25">
      <c r="A237" s="10">
        <v>44797</v>
      </c>
      <c r="B237" s="11">
        <v>0.23097222222222222</v>
      </c>
      <c r="C237" s="11">
        <v>0.82233796296296291</v>
      </c>
      <c r="D237" s="12">
        <v>0</v>
      </c>
      <c r="E237" s="12">
        <v>18.739999999999998</v>
      </c>
      <c r="F237" s="12">
        <v>10.34</v>
      </c>
      <c r="G237" s="13">
        <v>2.92</v>
      </c>
      <c r="H237" s="18">
        <f t="shared" si="3"/>
        <v>14</v>
      </c>
    </row>
    <row r="238" spans="1:8" x14ac:dyDescent="0.25">
      <c r="A238" s="6">
        <v>44798</v>
      </c>
      <c r="B238" s="7">
        <v>0.23211805555555556</v>
      </c>
      <c r="C238" s="7">
        <v>0.82081018518518523</v>
      </c>
      <c r="D238" s="8">
        <v>0</v>
      </c>
      <c r="E238" s="8">
        <v>17.95</v>
      </c>
      <c r="F238" s="8">
        <v>8.23</v>
      </c>
      <c r="G238" s="9">
        <v>0.78</v>
      </c>
      <c r="H238" s="18">
        <f t="shared" si="3"/>
        <v>14</v>
      </c>
    </row>
    <row r="239" spans="1:8" x14ac:dyDescent="0.25">
      <c r="A239" s="10">
        <v>44799</v>
      </c>
      <c r="B239" s="11">
        <v>0.23326388888888888</v>
      </c>
      <c r="C239" s="11">
        <v>0.81927083333333328</v>
      </c>
      <c r="D239" s="12">
        <v>0</v>
      </c>
      <c r="E239" s="12">
        <v>16.829999999999998</v>
      </c>
      <c r="F239" s="12">
        <v>8.83</v>
      </c>
      <c r="G239" s="13">
        <v>3.07</v>
      </c>
      <c r="H239" s="18">
        <f t="shared" si="3"/>
        <v>14</v>
      </c>
    </row>
    <row r="240" spans="1:8" x14ac:dyDescent="0.25">
      <c r="A240" s="6">
        <v>44800</v>
      </c>
      <c r="B240" s="7">
        <v>0.23440972222222223</v>
      </c>
      <c r="C240" s="7">
        <v>0.81773148148148145</v>
      </c>
      <c r="D240" s="8">
        <v>0</v>
      </c>
      <c r="E240" s="8">
        <v>17.09</v>
      </c>
      <c r="F240" s="8">
        <v>8.6300000000000008</v>
      </c>
      <c r="G240" s="9">
        <v>0.64</v>
      </c>
      <c r="H240" s="18">
        <f t="shared" si="3"/>
        <v>13</v>
      </c>
    </row>
    <row r="241" spans="1:8" x14ac:dyDescent="0.25">
      <c r="A241" s="10">
        <v>44801</v>
      </c>
      <c r="B241" s="11">
        <v>0.23555555555555555</v>
      </c>
      <c r="C241" s="11">
        <v>0.81618055555555558</v>
      </c>
      <c r="D241" s="12">
        <v>0</v>
      </c>
      <c r="E241" s="12">
        <v>18.010000000000002</v>
      </c>
      <c r="F241" s="12">
        <v>10.67</v>
      </c>
      <c r="G241" s="13">
        <v>2.95</v>
      </c>
      <c r="H241" s="18">
        <f t="shared" si="3"/>
        <v>13</v>
      </c>
    </row>
    <row r="242" spans="1:8" x14ac:dyDescent="0.25">
      <c r="A242" s="6">
        <v>44802</v>
      </c>
      <c r="B242" s="7">
        <v>0.23670138888888889</v>
      </c>
      <c r="C242" s="7">
        <v>0.81461805555555555</v>
      </c>
      <c r="D242" s="8">
        <v>0</v>
      </c>
      <c r="E242" s="8">
        <v>19.48</v>
      </c>
      <c r="F242" s="8">
        <v>12.16</v>
      </c>
      <c r="G242" s="9">
        <v>3.2</v>
      </c>
      <c r="H242" s="18">
        <f t="shared" si="3"/>
        <v>13</v>
      </c>
    </row>
    <row r="243" spans="1:8" x14ac:dyDescent="0.25">
      <c r="A243" s="10">
        <v>44803</v>
      </c>
      <c r="B243" s="11">
        <v>0.23784722222222221</v>
      </c>
      <c r="C243" s="11">
        <v>0.81304398148148149</v>
      </c>
      <c r="D243" s="12">
        <v>0</v>
      </c>
      <c r="E243" s="12">
        <v>18.11</v>
      </c>
      <c r="F243" s="12">
        <v>11.38</v>
      </c>
      <c r="G243" s="13">
        <v>2.91</v>
      </c>
      <c r="H243" s="18">
        <f t="shared" si="3"/>
        <v>13</v>
      </c>
    </row>
    <row r="244" spans="1:8" x14ac:dyDescent="0.25">
      <c r="A244" s="6">
        <v>44804</v>
      </c>
      <c r="B244" s="7">
        <v>0.23899305555555556</v>
      </c>
      <c r="C244" s="7">
        <v>0.81146990740740743</v>
      </c>
      <c r="D244" s="8">
        <v>0</v>
      </c>
      <c r="E244" s="8">
        <v>17.559999999999999</v>
      </c>
      <c r="F244" s="8">
        <v>9.49</v>
      </c>
      <c r="G244" s="9">
        <v>0.94</v>
      </c>
      <c r="H244" s="18">
        <f t="shared" si="3"/>
        <v>13</v>
      </c>
    </row>
    <row r="245" spans="1:8" x14ac:dyDescent="0.25">
      <c r="A245" s="10">
        <v>44805</v>
      </c>
      <c r="B245" s="11">
        <v>0.2401388888888889</v>
      </c>
      <c r="C245" s="11">
        <v>0.80989583333333337</v>
      </c>
      <c r="D245" s="12">
        <v>0</v>
      </c>
      <c r="E245" s="12">
        <v>16.809999999999999</v>
      </c>
      <c r="F245" s="12">
        <v>9.4600000000000009</v>
      </c>
      <c r="G245" s="13">
        <v>2.19</v>
      </c>
      <c r="H245" s="18">
        <f t="shared" si="3"/>
        <v>13</v>
      </c>
    </row>
    <row r="246" spans="1:8" x14ac:dyDescent="0.25">
      <c r="A246" s="6">
        <v>44806</v>
      </c>
      <c r="B246" s="7">
        <v>0.24127314814814815</v>
      </c>
      <c r="C246" s="7">
        <v>0.80829861111111112</v>
      </c>
      <c r="D246" s="8">
        <v>0</v>
      </c>
      <c r="E246" s="8">
        <v>15.05</v>
      </c>
      <c r="F246" s="8">
        <v>9.31</v>
      </c>
      <c r="G246" s="9">
        <v>3.95</v>
      </c>
      <c r="H246" s="18">
        <f t="shared" si="3"/>
        <v>13</v>
      </c>
    </row>
    <row r="247" spans="1:8" x14ac:dyDescent="0.25">
      <c r="A247" s="10">
        <v>44807</v>
      </c>
      <c r="B247" s="11">
        <v>0.24241898148148147</v>
      </c>
      <c r="C247" s="11">
        <v>0.80671296296296291</v>
      </c>
      <c r="D247" s="12">
        <v>0</v>
      </c>
      <c r="E247" s="12">
        <v>14.3</v>
      </c>
      <c r="F247" s="12">
        <v>8.69</v>
      </c>
      <c r="G247" s="13">
        <v>4.6900000000000004</v>
      </c>
      <c r="H247" s="18">
        <f t="shared" si="3"/>
        <v>13</v>
      </c>
    </row>
    <row r="248" spans="1:8" x14ac:dyDescent="0.25">
      <c r="A248" s="6">
        <v>44808</v>
      </c>
      <c r="B248" s="7">
        <v>0.24356481481481482</v>
      </c>
      <c r="C248" s="7">
        <v>0.80510416666666662</v>
      </c>
      <c r="D248" s="8">
        <v>0</v>
      </c>
      <c r="E248" s="8">
        <v>19.399999999999999</v>
      </c>
      <c r="F248" s="8">
        <v>10.84</v>
      </c>
      <c r="G248" s="9">
        <v>0.84</v>
      </c>
      <c r="H248" s="18">
        <f t="shared" si="3"/>
        <v>13</v>
      </c>
    </row>
    <row r="249" spans="1:8" x14ac:dyDescent="0.25">
      <c r="A249" s="10">
        <v>44809</v>
      </c>
      <c r="B249" s="11">
        <v>0.24469907407407407</v>
      </c>
      <c r="C249" s="11">
        <v>0.80350694444444448</v>
      </c>
      <c r="D249" s="12">
        <v>1</v>
      </c>
      <c r="E249" s="12">
        <v>14.15</v>
      </c>
      <c r="F249" s="12">
        <v>8.94</v>
      </c>
      <c r="G249" s="13">
        <v>3.18</v>
      </c>
      <c r="H249" s="18">
        <f t="shared" si="3"/>
        <v>13</v>
      </c>
    </row>
    <row r="250" spans="1:8" x14ac:dyDescent="0.25">
      <c r="A250" s="6">
        <v>44810</v>
      </c>
      <c r="B250" s="7">
        <v>0.24584490740740741</v>
      </c>
      <c r="C250" s="7">
        <v>0.80189814814814819</v>
      </c>
      <c r="D250" s="8">
        <v>2</v>
      </c>
      <c r="E250" s="8">
        <v>10.199999999999999</v>
      </c>
      <c r="F250" s="8">
        <v>6.94</v>
      </c>
      <c r="G250" s="9">
        <v>1.89</v>
      </c>
      <c r="H250" s="18">
        <f t="shared" si="3"/>
        <v>13</v>
      </c>
    </row>
    <row r="251" spans="1:8" x14ac:dyDescent="0.25">
      <c r="A251" s="10">
        <v>44811</v>
      </c>
      <c r="B251" s="11">
        <v>0.24699074074074073</v>
      </c>
      <c r="C251" s="11">
        <v>0.80027777777777775</v>
      </c>
      <c r="D251" s="12">
        <v>0</v>
      </c>
      <c r="E251" s="12">
        <v>19.149999999999999</v>
      </c>
      <c r="F251" s="12">
        <v>12.22</v>
      </c>
      <c r="G251" s="13">
        <v>2.98</v>
      </c>
      <c r="H251" s="18">
        <f t="shared" si="3"/>
        <v>13</v>
      </c>
    </row>
    <row r="252" spans="1:8" x14ac:dyDescent="0.25">
      <c r="A252" s="6">
        <v>44812</v>
      </c>
      <c r="B252" s="7">
        <v>0.24812500000000001</v>
      </c>
      <c r="C252" s="7">
        <v>0.79865740740740743</v>
      </c>
      <c r="D252" s="8">
        <v>0</v>
      </c>
      <c r="E252" s="8">
        <v>16.739999999999998</v>
      </c>
      <c r="F252" s="8">
        <v>9.15</v>
      </c>
      <c r="G252" s="9">
        <v>3.48</v>
      </c>
      <c r="H252" s="18">
        <f t="shared" si="3"/>
        <v>13</v>
      </c>
    </row>
    <row r="253" spans="1:8" x14ac:dyDescent="0.25">
      <c r="A253" s="10">
        <v>44813</v>
      </c>
      <c r="B253" s="11">
        <v>0.24927083333333333</v>
      </c>
      <c r="C253" s="11">
        <v>0.79703703703703699</v>
      </c>
      <c r="D253" s="12">
        <v>1</v>
      </c>
      <c r="E253" s="12">
        <v>12.97</v>
      </c>
      <c r="F253" s="12">
        <v>7.63</v>
      </c>
      <c r="G253" s="13">
        <v>2.59</v>
      </c>
      <c r="H253" s="18">
        <f t="shared" si="3"/>
        <v>13</v>
      </c>
    </row>
    <row r="254" spans="1:8" x14ac:dyDescent="0.25">
      <c r="A254" s="6">
        <v>44814</v>
      </c>
      <c r="B254" s="7">
        <v>0.25041666666666668</v>
      </c>
      <c r="C254" s="7">
        <v>0.79541666666666666</v>
      </c>
      <c r="D254" s="8">
        <v>0</v>
      </c>
      <c r="E254" s="8">
        <v>19.690000000000001</v>
      </c>
      <c r="F254" s="8">
        <v>11.67</v>
      </c>
      <c r="G254" s="9">
        <v>1.86</v>
      </c>
      <c r="H254" s="18">
        <f t="shared" si="3"/>
        <v>13</v>
      </c>
    </row>
    <row r="255" spans="1:8" x14ac:dyDescent="0.25">
      <c r="A255" s="10">
        <v>44815</v>
      </c>
      <c r="B255" s="11">
        <v>0.25155092592592593</v>
      </c>
      <c r="C255" s="11">
        <v>0.79378472222222218</v>
      </c>
      <c r="D255" s="12">
        <v>1</v>
      </c>
      <c r="E255" s="12">
        <v>15.77</v>
      </c>
      <c r="F255" s="12">
        <v>9.66</v>
      </c>
      <c r="G255" s="13">
        <v>0.95</v>
      </c>
      <c r="H255" s="18">
        <f t="shared" si="3"/>
        <v>13</v>
      </c>
    </row>
    <row r="256" spans="1:8" x14ac:dyDescent="0.25">
      <c r="A256" s="6">
        <v>44816</v>
      </c>
      <c r="B256" s="7">
        <v>0.25269675925925927</v>
      </c>
      <c r="C256" s="7">
        <v>0.79215277777777782</v>
      </c>
      <c r="D256" s="8">
        <v>1</v>
      </c>
      <c r="E256" s="8">
        <v>13.48</v>
      </c>
      <c r="F256" s="8">
        <v>8.56</v>
      </c>
      <c r="G256" s="9">
        <v>2.94</v>
      </c>
      <c r="H256" s="18">
        <f t="shared" si="3"/>
        <v>12</v>
      </c>
    </row>
    <row r="257" spans="1:8" x14ac:dyDescent="0.25">
      <c r="A257" s="10">
        <v>44817</v>
      </c>
      <c r="B257" s="11">
        <v>0.25383101851851853</v>
      </c>
      <c r="C257" s="11">
        <v>0.79052083333333334</v>
      </c>
      <c r="D257" s="12">
        <v>1</v>
      </c>
      <c r="E257" s="12">
        <v>14.44</v>
      </c>
      <c r="F257" s="12">
        <v>9.48</v>
      </c>
      <c r="G257" s="13">
        <v>2.84</v>
      </c>
      <c r="H257" s="18">
        <f t="shared" si="3"/>
        <v>12</v>
      </c>
    </row>
    <row r="258" spans="1:8" x14ac:dyDescent="0.25">
      <c r="A258" s="6">
        <v>44818</v>
      </c>
      <c r="B258" s="7">
        <v>0.25497685185185187</v>
      </c>
      <c r="C258" s="7">
        <v>0.78887731481481482</v>
      </c>
      <c r="D258" s="8">
        <v>0</v>
      </c>
      <c r="E258" s="8">
        <v>15.61</v>
      </c>
      <c r="F258" s="8">
        <v>8.7799999999999994</v>
      </c>
      <c r="G258" s="9">
        <v>4.95</v>
      </c>
      <c r="H258" s="18">
        <f t="shared" si="3"/>
        <v>12</v>
      </c>
    </row>
    <row r="259" spans="1:8" x14ac:dyDescent="0.25">
      <c r="A259" s="10">
        <v>44819</v>
      </c>
      <c r="B259" s="11">
        <v>0.25612268518518516</v>
      </c>
      <c r="C259" s="11">
        <v>0.78724537037037035</v>
      </c>
      <c r="D259" s="12">
        <v>0</v>
      </c>
      <c r="E259" s="12">
        <v>18</v>
      </c>
      <c r="F259" s="12">
        <v>9.9700000000000006</v>
      </c>
      <c r="G259" s="13">
        <v>3.65</v>
      </c>
      <c r="H259" s="18">
        <f t="shared" ref="H259:H322" si="4">INT((C259-B259)*24)</f>
        <v>12</v>
      </c>
    </row>
    <row r="260" spans="1:8" x14ac:dyDescent="0.25">
      <c r="A260" s="6">
        <v>44820</v>
      </c>
      <c r="B260" s="7">
        <v>0.25725694444444447</v>
      </c>
      <c r="C260" s="7">
        <v>0.78560185185185183</v>
      </c>
      <c r="D260" s="8">
        <v>3</v>
      </c>
      <c r="E260" s="8">
        <v>9.7799999999999994</v>
      </c>
      <c r="F260" s="8">
        <v>6.88</v>
      </c>
      <c r="G260" s="9">
        <v>4.9800000000000004</v>
      </c>
      <c r="H260" s="18">
        <f t="shared" si="4"/>
        <v>12</v>
      </c>
    </row>
    <row r="261" spans="1:8" x14ac:dyDescent="0.25">
      <c r="A261" s="10">
        <v>44821</v>
      </c>
      <c r="B261" s="11">
        <v>0.25840277777777776</v>
      </c>
      <c r="C261" s="11">
        <v>0.78396990740740746</v>
      </c>
      <c r="D261" s="12">
        <v>1</v>
      </c>
      <c r="E261" s="12">
        <v>13.43</v>
      </c>
      <c r="F261" s="12">
        <v>8.9700000000000006</v>
      </c>
      <c r="G261" s="13">
        <v>3.24</v>
      </c>
      <c r="H261" s="18">
        <f t="shared" si="4"/>
        <v>12</v>
      </c>
    </row>
    <row r="262" spans="1:8" x14ac:dyDescent="0.25">
      <c r="A262" s="6">
        <v>44822</v>
      </c>
      <c r="B262" s="7">
        <v>0.2595486111111111</v>
      </c>
      <c r="C262" s="7">
        <v>0.78232638888888884</v>
      </c>
      <c r="D262" s="8">
        <v>1</v>
      </c>
      <c r="E262" s="8">
        <v>12.57</v>
      </c>
      <c r="F262" s="8">
        <v>8.44</v>
      </c>
      <c r="G262" s="9">
        <v>3.16</v>
      </c>
      <c r="H262" s="18">
        <f t="shared" si="4"/>
        <v>12</v>
      </c>
    </row>
    <row r="263" spans="1:8" x14ac:dyDescent="0.25">
      <c r="A263" s="10">
        <v>44823</v>
      </c>
      <c r="B263" s="11">
        <v>0.26069444444444445</v>
      </c>
      <c r="C263" s="11">
        <v>0.78068287037037032</v>
      </c>
      <c r="D263" s="12">
        <v>2</v>
      </c>
      <c r="E263" s="12">
        <v>10.44</v>
      </c>
      <c r="F263" s="12">
        <v>7.84</v>
      </c>
      <c r="G263" s="13">
        <v>2.48</v>
      </c>
      <c r="H263" s="18">
        <f t="shared" si="4"/>
        <v>12</v>
      </c>
    </row>
    <row r="264" spans="1:8" x14ac:dyDescent="0.25">
      <c r="A264" s="6">
        <v>44824</v>
      </c>
      <c r="B264" s="7">
        <v>0.2618402777777778</v>
      </c>
      <c r="C264" s="7">
        <v>0.7790393518518518</v>
      </c>
      <c r="D264" s="8">
        <v>0</v>
      </c>
      <c r="E264" s="8">
        <v>14.53</v>
      </c>
      <c r="F264" s="8">
        <v>5.65</v>
      </c>
      <c r="G264" s="9">
        <v>2.94</v>
      </c>
      <c r="H264" s="18">
        <f t="shared" si="4"/>
        <v>12</v>
      </c>
    </row>
    <row r="265" spans="1:8" x14ac:dyDescent="0.25">
      <c r="A265" s="10">
        <v>44825</v>
      </c>
      <c r="B265" s="11">
        <v>0.26298611111111109</v>
      </c>
      <c r="C265" s="11">
        <v>0.77740740740740744</v>
      </c>
      <c r="D265" s="12">
        <v>0</v>
      </c>
      <c r="E265" s="12">
        <v>14.84</v>
      </c>
      <c r="F265" s="12">
        <v>5.95</v>
      </c>
      <c r="G265" s="13">
        <v>1.9</v>
      </c>
      <c r="H265" s="18">
        <f t="shared" si="4"/>
        <v>12</v>
      </c>
    </row>
    <row r="266" spans="1:8" x14ac:dyDescent="0.25">
      <c r="A266" s="6">
        <v>44826</v>
      </c>
      <c r="B266" s="7">
        <v>0.26414351851851853</v>
      </c>
      <c r="C266" s="7">
        <v>0.77576388888888892</v>
      </c>
      <c r="D266" s="8">
        <v>0</v>
      </c>
      <c r="E266" s="8">
        <v>16.510000000000002</v>
      </c>
      <c r="F266" s="8">
        <v>7.84</v>
      </c>
      <c r="G266" s="9">
        <v>0.84</v>
      </c>
      <c r="H266" s="18">
        <f t="shared" si="4"/>
        <v>12</v>
      </c>
    </row>
    <row r="267" spans="1:8" x14ac:dyDescent="0.25">
      <c r="A267" s="10">
        <v>44827</v>
      </c>
      <c r="B267" s="11">
        <v>0.26528935185185187</v>
      </c>
      <c r="C267" s="11">
        <v>0.7741203703703704</v>
      </c>
      <c r="D267" s="12">
        <v>0</v>
      </c>
      <c r="E267" s="12">
        <v>12.03</v>
      </c>
      <c r="F267" s="12">
        <v>6.37</v>
      </c>
      <c r="G267" s="13">
        <v>5.4</v>
      </c>
      <c r="H267" s="18">
        <f t="shared" si="4"/>
        <v>12</v>
      </c>
    </row>
    <row r="268" spans="1:8" x14ac:dyDescent="0.25">
      <c r="A268" s="6">
        <v>44828</v>
      </c>
      <c r="B268" s="7">
        <v>0.26643518518518516</v>
      </c>
      <c r="C268" s="7">
        <v>0.77248842592592593</v>
      </c>
      <c r="D268" s="8">
        <v>0</v>
      </c>
      <c r="E268" s="8">
        <v>15.85</v>
      </c>
      <c r="F268" s="8">
        <v>6.64</v>
      </c>
      <c r="G268" s="9">
        <v>2.69</v>
      </c>
      <c r="H268" s="18">
        <f t="shared" si="4"/>
        <v>12</v>
      </c>
    </row>
    <row r="269" spans="1:8" x14ac:dyDescent="0.25">
      <c r="A269" s="10">
        <v>44829</v>
      </c>
      <c r="B269" s="11">
        <v>0.2675925925925926</v>
      </c>
      <c r="C269" s="11">
        <v>0.77084490740740741</v>
      </c>
      <c r="D269" s="12">
        <v>0</v>
      </c>
      <c r="E269" s="12">
        <v>18.45</v>
      </c>
      <c r="F269" s="12">
        <v>8.5399999999999991</v>
      </c>
      <c r="G269" s="13">
        <v>1.02</v>
      </c>
      <c r="H269" s="18">
        <f t="shared" si="4"/>
        <v>12</v>
      </c>
    </row>
    <row r="270" spans="1:8" x14ac:dyDescent="0.25">
      <c r="A270" s="6">
        <v>44830</v>
      </c>
      <c r="B270" s="7">
        <v>0.26874999999999999</v>
      </c>
      <c r="C270" s="7">
        <v>0.76921296296296293</v>
      </c>
      <c r="D270" s="8">
        <v>1</v>
      </c>
      <c r="E270" s="8">
        <v>11.93</v>
      </c>
      <c r="F270" s="8">
        <v>7.93</v>
      </c>
      <c r="G270" s="9">
        <v>3.04</v>
      </c>
      <c r="H270" s="18">
        <f t="shared" si="4"/>
        <v>12</v>
      </c>
    </row>
    <row r="271" spans="1:8" x14ac:dyDescent="0.25">
      <c r="A271" s="10">
        <v>44831</v>
      </c>
      <c r="B271" s="11">
        <v>0.26990740740740743</v>
      </c>
      <c r="C271" s="11">
        <v>0.76758101851851857</v>
      </c>
      <c r="D271" s="12">
        <v>0</v>
      </c>
      <c r="E271" s="12">
        <v>13.34</v>
      </c>
      <c r="F271" s="12">
        <v>8.39</v>
      </c>
      <c r="G271" s="13">
        <v>2.84</v>
      </c>
      <c r="H271" s="18">
        <f t="shared" si="4"/>
        <v>11</v>
      </c>
    </row>
    <row r="272" spans="1:8" x14ac:dyDescent="0.25">
      <c r="A272" s="6">
        <v>44832</v>
      </c>
      <c r="B272" s="7">
        <v>0.27106481481481481</v>
      </c>
      <c r="C272" s="7">
        <v>0.76596064814814813</v>
      </c>
      <c r="D272" s="8">
        <v>0</v>
      </c>
      <c r="E272" s="8">
        <v>13.66</v>
      </c>
      <c r="F272" s="8">
        <v>7.55</v>
      </c>
      <c r="G272" s="9">
        <v>2.14</v>
      </c>
      <c r="H272" s="18">
        <f t="shared" si="4"/>
        <v>11</v>
      </c>
    </row>
    <row r="273" spans="1:8" x14ac:dyDescent="0.25">
      <c r="A273" s="10">
        <v>44833</v>
      </c>
      <c r="B273" s="11">
        <v>0.27223379629629629</v>
      </c>
      <c r="C273" s="11">
        <v>0.76432870370370365</v>
      </c>
      <c r="D273" s="12">
        <v>2</v>
      </c>
      <c r="E273" s="12">
        <v>9.33</v>
      </c>
      <c r="F273" s="12">
        <v>5.86</v>
      </c>
      <c r="G273" s="13">
        <v>2.19</v>
      </c>
      <c r="H273" s="18">
        <f t="shared" si="4"/>
        <v>11</v>
      </c>
    </row>
    <row r="274" spans="1:8" x14ac:dyDescent="0.25">
      <c r="A274" s="6">
        <v>44834</v>
      </c>
      <c r="B274" s="7">
        <v>0.27339120370370368</v>
      </c>
      <c r="C274" s="7">
        <v>0.76270833333333332</v>
      </c>
      <c r="D274" s="8">
        <v>0</v>
      </c>
      <c r="E274" s="8">
        <v>12.98</v>
      </c>
      <c r="F274" s="8">
        <v>6.32</v>
      </c>
      <c r="G274" s="9">
        <v>3.02</v>
      </c>
      <c r="H274" s="18">
        <f t="shared" si="4"/>
        <v>11</v>
      </c>
    </row>
    <row r="275" spans="1:8" x14ac:dyDescent="0.25">
      <c r="A275" s="10">
        <v>44835</v>
      </c>
      <c r="B275" s="11">
        <v>0.27456018518518521</v>
      </c>
      <c r="C275" s="11">
        <v>0.76108796296296299</v>
      </c>
      <c r="D275" s="12">
        <v>3</v>
      </c>
      <c r="E275" s="12">
        <v>6.6</v>
      </c>
      <c r="F275" s="12">
        <v>5.68</v>
      </c>
      <c r="G275" s="13">
        <v>4.16</v>
      </c>
      <c r="H275" s="18">
        <f t="shared" si="4"/>
        <v>11</v>
      </c>
    </row>
    <row r="276" spans="1:8" x14ac:dyDescent="0.25">
      <c r="A276" s="6">
        <v>44836</v>
      </c>
      <c r="B276" s="7">
        <v>0.27572916666666669</v>
      </c>
      <c r="C276" s="7">
        <v>0.75947916666666671</v>
      </c>
      <c r="D276" s="8">
        <v>2</v>
      </c>
      <c r="E276" s="8">
        <v>8.07</v>
      </c>
      <c r="F276" s="8">
        <v>6.79</v>
      </c>
      <c r="G276" s="9">
        <v>5.03</v>
      </c>
      <c r="H276" s="18">
        <f t="shared" si="4"/>
        <v>11</v>
      </c>
    </row>
    <row r="277" spans="1:8" x14ac:dyDescent="0.25">
      <c r="A277" s="10">
        <v>44837</v>
      </c>
      <c r="B277" s="11">
        <v>0.27689814814814817</v>
      </c>
      <c r="C277" s="11">
        <v>0.75787037037037042</v>
      </c>
      <c r="D277" s="12">
        <v>4</v>
      </c>
      <c r="E277" s="12">
        <v>4.42</v>
      </c>
      <c r="F277" s="12">
        <v>3.32</v>
      </c>
      <c r="G277" s="13">
        <v>3.56</v>
      </c>
      <c r="H277" s="18">
        <f t="shared" si="4"/>
        <v>11</v>
      </c>
    </row>
    <row r="278" spans="1:8" x14ac:dyDescent="0.25">
      <c r="A278" s="6">
        <v>44838</v>
      </c>
      <c r="B278" s="7">
        <v>0.27807870370370369</v>
      </c>
      <c r="C278" s="7">
        <v>0.75626157407407413</v>
      </c>
      <c r="D278" s="8">
        <v>4</v>
      </c>
      <c r="E278" s="8">
        <v>4.3899999999999997</v>
      </c>
      <c r="F278" s="8">
        <v>1.26</v>
      </c>
      <c r="G278" s="9">
        <v>1.19</v>
      </c>
      <c r="H278" s="18">
        <f t="shared" si="4"/>
        <v>11</v>
      </c>
    </row>
    <row r="279" spans="1:8" x14ac:dyDescent="0.25">
      <c r="A279" s="10">
        <v>44839</v>
      </c>
      <c r="B279" s="11">
        <v>0.27925925925925926</v>
      </c>
      <c r="C279" s="11">
        <v>0.75466435185185188</v>
      </c>
      <c r="D279" s="12">
        <v>4</v>
      </c>
      <c r="E279" s="12">
        <v>5.07</v>
      </c>
      <c r="F279" s="12">
        <v>2.68</v>
      </c>
      <c r="G279" s="13">
        <v>2.14</v>
      </c>
      <c r="H279" s="18">
        <f t="shared" si="4"/>
        <v>11</v>
      </c>
    </row>
    <row r="280" spans="1:8" x14ac:dyDescent="0.25">
      <c r="A280" s="6">
        <v>44840</v>
      </c>
      <c r="B280" s="7">
        <v>0.28043981481481484</v>
      </c>
      <c r="C280" s="7">
        <v>0.75306712962962963</v>
      </c>
      <c r="D280" s="8">
        <v>4</v>
      </c>
      <c r="E280" s="8">
        <v>5.66</v>
      </c>
      <c r="F280" s="8">
        <v>3.96</v>
      </c>
      <c r="G280" s="9">
        <v>2.1800000000000002</v>
      </c>
      <c r="H280" s="18">
        <f t="shared" si="4"/>
        <v>11</v>
      </c>
    </row>
    <row r="281" spans="1:8" x14ac:dyDescent="0.25">
      <c r="A281" s="10">
        <v>44841</v>
      </c>
      <c r="B281" s="11">
        <v>0.28162037037037035</v>
      </c>
      <c r="C281" s="11">
        <v>0.75148148148148153</v>
      </c>
      <c r="D281" s="12">
        <v>4</v>
      </c>
      <c r="E281" s="12">
        <v>5.19</v>
      </c>
      <c r="F281" s="12">
        <v>3.12</v>
      </c>
      <c r="G281" s="13">
        <v>4.0599999999999996</v>
      </c>
      <c r="H281" s="18">
        <f t="shared" si="4"/>
        <v>11</v>
      </c>
    </row>
    <row r="282" spans="1:8" x14ac:dyDescent="0.25">
      <c r="A282" s="6">
        <v>44842</v>
      </c>
      <c r="B282" s="7">
        <v>0.28281250000000002</v>
      </c>
      <c r="C282" s="7">
        <v>0.74989583333333332</v>
      </c>
      <c r="D282" s="8">
        <v>7</v>
      </c>
      <c r="E282" s="8">
        <v>3.5</v>
      </c>
      <c r="F282" s="8">
        <v>1.65</v>
      </c>
      <c r="G282" s="9">
        <v>4.26</v>
      </c>
      <c r="H282" s="18">
        <f t="shared" si="4"/>
        <v>11</v>
      </c>
    </row>
    <row r="283" spans="1:8" x14ac:dyDescent="0.25">
      <c r="A283" s="10">
        <v>44843</v>
      </c>
      <c r="B283" s="11">
        <v>0.28399305555555554</v>
      </c>
      <c r="C283" s="11">
        <v>0.74832175925925926</v>
      </c>
      <c r="D283" s="12">
        <v>1</v>
      </c>
      <c r="E283" s="12">
        <v>9.49</v>
      </c>
      <c r="F283" s="12">
        <v>4.95</v>
      </c>
      <c r="G283" s="13">
        <v>2.89</v>
      </c>
      <c r="H283" s="18">
        <f t="shared" si="4"/>
        <v>11</v>
      </c>
    </row>
    <row r="284" spans="1:8" x14ac:dyDescent="0.25">
      <c r="A284" s="6">
        <v>44844</v>
      </c>
      <c r="B284" s="7">
        <v>0.28519675925925925</v>
      </c>
      <c r="C284" s="7">
        <v>0.74675925925925923</v>
      </c>
      <c r="D284" s="8">
        <v>3</v>
      </c>
      <c r="E284" s="8">
        <v>6.48</v>
      </c>
      <c r="F284" s="8">
        <v>4.8499999999999996</v>
      </c>
      <c r="G284" s="9">
        <v>3.41</v>
      </c>
      <c r="H284" s="18">
        <f t="shared" si="4"/>
        <v>11</v>
      </c>
    </row>
    <row r="285" spans="1:8" x14ac:dyDescent="0.25">
      <c r="A285" s="10">
        <v>44845</v>
      </c>
      <c r="B285" s="11">
        <v>0.28638888888888892</v>
      </c>
      <c r="C285" s="11">
        <v>0.74519675925925921</v>
      </c>
      <c r="D285" s="12">
        <v>3</v>
      </c>
      <c r="E285" s="12">
        <v>5.86</v>
      </c>
      <c r="F285" s="12">
        <v>4.97</v>
      </c>
      <c r="G285" s="13">
        <v>4.0199999999999996</v>
      </c>
      <c r="H285" s="18">
        <f t="shared" si="4"/>
        <v>11</v>
      </c>
    </row>
    <row r="286" spans="1:8" x14ac:dyDescent="0.25">
      <c r="A286" s="6">
        <v>44846</v>
      </c>
      <c r="B286" s="7">
        <v>0.28759259259259257</v>
      </c>
      <c r="C286" s="7">
        <v>0.74364583333333334</v>
      </c>
      <c r="D286" s="8">
        <v>3</v>
      </c>
      <c r="E286" s="8">
        <v>5.92</v>
      </c>
      <c r="F286" s="8">
        <v>4.3600000000000003</v>
      </c>
      <c r="G286" s="9">
        <v>2.68</v>
      </c>
      <c r="H286" s="18">
        <f t="shared" si="4"/>
        <v>10</v>
      </c>
    </row>
    <row r="287" spans="1:8" x14ac:dyDescent="0.25">
      <c r="A287" s="10">
        <v>44847</v>
      </c>
      <c r="B287" s="11">
        <v>0.28879629629629627</v>
      </c>
      <c r="C287" s="11">
        <v>0.74209490740740736</v>
      </c>
      <c r="D287" s="12">
        <v>5</v>
      </c>
      <c r="E287" s="12">
        <v>3.69</v>
      </c>
      <c r="F287" s="12">
        <v>1.58</v>
      </c>
      <c r="G287" s="13">
        <v>2.4300000000000002</v>
      </c>
      <c r="H287" s="18">
        <f t="shared" si="4"/>
        <v>10</v>
      </c>
    </row>
    <row r="288" spans="1:8" x14ac:dyDescent="0.25">
      <c r="A288" s="6">
        <v>44848</v>
      </c>
      <c r="B288" s="7">
        <v>0.28999999999999998</v>
      </c>
      <c r="C288" s="7">
        <v>0.74056712962962967</v>
      </c>
      <c r="D288" s="8">
        <v>1</v>
      </c>
      <c r="E288" s="8">
        <v>8.8800000000000008</v>
      </c>
      <c r="F288" s="8">
        <v>3.95</v>
      </c>
      <c r="G288" s="9">
        <v>2.44</v>
      </c>
      <c r="H288" s="18">
        <f t="shared" si="4"/>
        <v>10</v>
      </c>
    </row>
    <row r="289" spans="1:8" x14ac:dyDescent="0.25">
      <c r="A289" s="10">
        <v>44849</v>
      </c>
      <c r="B289" s="11">
        <v>0.29121527777777778</v>
      </c>
      <c r="C289" s="11">
        <v>0.73903935185185188</v>
      </c>
      <c r="D289" s="12">
        <v>1</v>
      </c>
      <c r="E289" s="12">
        <v>8.56</v>
      </c>
      <c r="F289" s="12">
        <v>2.86</v>
      </c>
      <c r="G289" s="13">
        <v>1.61</v>
      </c>
      <c r="H289" s="18">
        <f t="shared" si="4"/>
        <v>10</v>
      </c>
    </row>
    <row r="290" spans="1:8" x14ac:dyDescent="0.25">
      <c r="A290" s="6">
        <v>44850</v>
      </c>
      <c r="B290" s="7">
        <v>0.29243055555555558</v>
      </c>
      <c r="C290" s="7">
        <v>0.73752314814814812</v>
      </c>
      <c r="D290" s="8">
        <v>0</v>
      </c>
      <c r="E290" s="8">
        <v>14.7</v>
      </c>
      <c r="F290" s="8">
        <v>5.42</v>
      </c>
      <c r="G290" s="9">
        <v>2.48</v>
      </c>
      <c r="H290" s="18">
        <f t="shared" si="4"/>
        <v>10</v>
      </c>
    </row>
    <row r="291" spans="1:8" x14ac:dyDescent="0.25">
      <c r="A291" s="10">
        <v>44851</v>
      </c>
      <c r="B291" s="11">
        <v>0.29364583333333333</v>
      </c>
      <c r="C291" s="11">
        <v>0.73601851851851852</v>
      </c>
      <c r="D291" s="12">
        <v>1</v>
      </c>
      <c r="E291" s="12">
        <v>11.59</v>
      </c>
      <c r="F291" s="12">
        <v>6.72</v>
      </c>
      <c r="G291" s="13">
        <v>2.4700000000000002</v>
      </c>
      <c r="H291" s="18">
        <f t="shared" si="4"/>
        <v>10</v>
      </c>
    </row>
    <row r="292" spans="1:8" x14ac:dyDescent="0.25">
      <c r="A292" s="6">
        <v>44852</v>
      </c>
      <c r="B292" s="7">
        <v>0.29486111111111113</v>
      </c>
      <c r="C292" s="7">
        <v>0.73451388888888891</v>
      </c>
      <c r="D292" s="8">
        <v>6</v>
      </c>
      <c r="E292" s="8">
        <v>3.26</v>
      </c>
      <c r="F292" s="8">
        <v>1.96</v>
      </c>
      <c r="G292" s="9">
        <v>3.14</v>
      </c>
      <c r="H292" s="18">
        <f t="shared" si="4"/>
        <v>10</v>
      </c>
    </row>
    <row r="293" spans="1:8" x14ac:dyDescent="0.25">
      <c r="A293" s="10">
        <v>44853</v>
      </c>
      <c r="B293" s="11">
        <v>0.29608796296296297</v>
      </c>
      <c r="C293" s="11">
        <v>0.73303240740740738</v>
      </c>
      <c r="D293" s="12">
        <v>4</v>
      </c>
      <c r="E293" s="12">
        <v>4.9000000000000004</v>
      </c>
      <c r="F293" s="12">
        <v>1.87</v>
      </c>
      <c r="G293" s="13">
        <v>3.61</v>
      </c>
      <c r="H293" s="18">
        <f t="shared" si="4"/>
        <v>10</v>
      </c>
    </row>
    <row r="294" spans="1:8" x14ac:dyDescent="0.25">
      <c r="A294" s="6">
        <v>44854</v>
      </c>
      <c r="B294" s="7">
        <v>0.29731481481481481</v>
      </c>
      <c r="C294" s="7">
        <v>0.7315625</v>
      </c>
      <c r="D294" s="8">
        <v>1</v>
      </c>
      <c r="E294" s="8">
        <v>9.3800000000000008</v>
      </c>
      <c r="F294" s="8">
        <v>5.46</v>
      </c>
      <c r="G294" s="9">
        <v>3.45</v>
      </c>
      <c r="H294" s="18">
        <f t="shared" si="4"/>
        <v>10</v>
      </c>
    </row>
    <row r="295" spans="1:8" x14ac:dyDescent="0.25">
      <c r="A295" s="10">
        <v>44855</v>
      </c>
      <c r="B295" s="11">
        <v>0.29855324074074074</v>
      </c>
      <c r="C295" s="11">
        <v>0.73009259259259263</v>
      </c>
      <c r="D295" s="12">
        <v>3</v>
      </c>
      <c r="E295" s="12">
        <v>5.29</v>
      </c>
      <c r="F295" s="12">
        <v>3.94</v>
      </c>
      <c r="G295" s="13">
        <v>3.48</v>
      </c>
      <c r="H295" s="18">
        <f t="shared" si="4"/>
        <v>10</v>
      </c>
    </row>
    <row r="296" spans="1:8" x14ac:dyDescent="0.25">
      <c r="A296" s="6">
        <v>44856</v>
      </c>
      <c r="B296" s="7">
        <v>0.29978009259259258</v>
      </c>
      <c r="C296" s="7">
        <v>0.72864583333333333</v>
      </c>
      <c r="D296" s="8">
        <v>0</v>
      </c>
      <c r="E296" s="8">
        <v>13.23</v>
      </c>
      <c r="F296" s="8">
        <v>6.74</v>
      </c>
      <c r="G296" s="9">
        <v>2.69</v>
      </c>
      <c r="H296" s="18">
        <f t="shared" si="4"/>
        <v>10</v>
      </c>
    </row>
    <row r="297" spans="1:8" x14ac:dyDescent="0.25">
      <c r="A297" s="10">
        <v>44857</v>
      </c>
      <c r="B297" s="11">
        <v>0.30101851851851852</v>
      </c>
      <c r="C297" s="11">
        <v>0.72721064814814818</v>
      </c>
      <c r="D297" s="12">
        <v>7</v>
      </c>
      <c r="E297" s="12">
        <v>3.97</v>
      </c>
      <c r="F297" s="12">
        <v>1.64</v>
      </c>
      <c r="G297" s="13">
        <v>4.84</v>
      </c>
      <c r="H297" s="18">
        <f t="shared" si="4"/>
        <v>10</v>
      </c>
    </row>
    <row r="298" spans="1:8" x14ac:dyDescent="0.25">
      <c r="A298" s="6">
        <v>44858</v>
      </c>
      <c r="B298" s="7">
        <v>0.30225694444444445</v>
      </c>
      <c r="C298" s="7">
        <v>0.72578703703703706</v>
      </c>
      <c r="D298" s="8">
        <v>0</v>
      </c>
      <c r="E298" s="8">
        <v>12.38</v>
      </c>
      <c r="F298" s="8">
        <v>6.35</v>
      </c>
      <c r="G298" s="9">
        <v>3.66</v>
      </c>
      <c r="H298" s="18">
        <f t="shared" si="4"/>
        <v>10</v>
      </c>
    </row>
    <row r="299" spans="1:8" x14ac:dyDescent="0.25">
      <c r="A299" s="10">
        <v>44859</v>
      </c>
      <c r="B299" s="11">
        <v>0.30349537037037039</v>
      </c>
      <c r="C299" s="11">
        <v>0.72437499999999999</v>
      </c>
      <c r="D299" s="12">
        <v>4</v>
      </c>
      <c r="E299" s="12">
        <v>4.58</v>
      </c>
      <c r="F299" s="12">
        <v>2.5299999999999998</v>
      </c>
      <c r="G299" s="13">
        <v>4.57</v>
      </c>
      <c r="H299" s="18">
        <f t="shared" si="4"/>
        <v>10</v>
      </c>
    </row>
    <row r="300" spans="1:8" x14ac:dyDescent="0.25">
      <c r="A300" s="6">
        <v>44860</v>
      </c>
      <c r="B300" s="7">
        <v>0.30474537037037036</v>
      </c>
      <c r="C300" s="7">
        <v>0.72298611111111111</v>
      </c>
      <c r="D300" s="8">
        <v>6</v>
      </c>
      <c r="E300" s="8">
        <v>2.06</v>
      </c>
      <c r="F300" s="8">
        <v>1.06</v>
      </c>
      <c r="G300" s="9">
        <v>3.84</v>
      </c>
      <c r="H300" s="18">
        <f t="shared" si="4"/>
        <v>10</v>
      </c>
    </row>
    <row r="301" spans="1:8" x14ac:dyDescent="0.25">
      <c r="A301" s="10">
        <v>44861</v>
      </c>
      <c r="B301" s="11">
        <v>0.30599537037037039</v>
      </c>
      <c r="C301" s="11">
        <v>0.72159722222222222</v>
      </c>
      <c r="D301" s="12">
        <v>1</v>
      </c>
      <c r="E301" s="12">
        <v>8.7799999999999994</v>
      </c>
      <c r="F301" s="12">
        <v>2.09</v>
      </c>
      <c r="G301" s="13">
        <v>1.58</v>
      </c>
      <c r="H301" s="18">
        <f t="shared" si="4"/>
        <v>9</v>
      </c>
    </row>
    <row r="302" spans="1:8" x14ac:dyDescent="0.25">
      <c r="A302" s="6">
        <v>44862</v>
      </c>
      <c r="B302" s="7">
        <v>0.30724537037037036</v>
      </c>
      <c r="C302" s="7">
        <v>0.72023148148148153</v>
      </c>
      <c r="D302" s="8">
        <v>1</v>
      </c>
      <c r="E302" s="8">
        <v>8.06</v>
      </c>
      <c r="F302" s="8">
        <v>1.98</v>
      </c>
      <c r="G302" s="9">
        <v>1.08</v>
      </c>
      <c r="H302" s="18">
        <f t="shared" si="4"/>
        <v>9</v>
      </c>
    </row>
    <row r="303" spans="1:8" x14ac:dyDescent="0.25">
      <c r="A303" s="10">
        <v>44863</v>
      </c>
      <c r="B303" s="11">
        <v>0.30849537037037039</v>
      </c>
      <c r="C303" s="11">
        <v>0.71888888888888891</v>
      </c>
      <c r="D303" s="12">
        <v>4</v>
      </c>
      <c r="E303" s="12">
        <v>4.7300000000000004</v>
      </c>
      <c r="F303" s="12">
        <v>3.79</v>
      </c>
      <c r="G303" s="13">
        <v>3.08</v>
      </c>
      <c r="H303" s="18">
        <f t="shared" si="4"/>
        <v>9</v>
      </c>
    </row>
    <row r="304" spans="1:8" x14ac:dyDescent="0.25">
      <c r="A304" s="6">
        <v>44864</v>
      </c>
      <c r="B304" s="7">
        <v>0.26807870370370368</v>
      </c>
      <c r="C304" s="7">
        <v>0.67587962962962966</v>
      </c>
      <c r="D304" s="8">
        <v>3</v>
      </c>
      <c r="E304" s="8">
        <v>5.33</v>
      </c>
      <c r="F304" s="8">
        <v>2.98</v>
      </c>
      <c r="G304" s="9">
        <v>3.05</v>
      </c>
      <c r="H304" s="18">
        <f t="shared" si="4"/>
        <v>9</v>
      </c>
    </row>
    <row r="305" spans="1:8" x14ac:dyDescent="0.25">
      <c r="A305" s="10">
        <v>44865</v>
      </c>
      <c r="B305" s="11">
        <v>0.26932870370370371</v>
      </c>
      <c r="C305" s="11">
        <v>0.67457175925925927</v>
      </c>
      <c r="D305" s="12">
        <v>6</v>
      </c>
      <c r="E305" s="12">
        <v>2.13</v>
      </c>
      <c r="F305" s="12">
        <v>1.67</v>
      </c>
      <c r="G305" s="13">
        <v>4.21</v>
      </c>
      <c r="H305" s="18">
        <f t="shared" si="4"/>
        <v>9</v>
      </c>
    </row>
    <row r="306" spans="1:8" x14ac:dyDescent="0.25">
      <c r="A306" s="6">
        <v>44866</v>
      </c>
      <c r="B306" s="7">
        <v>0.27057870370370368</v>
      </c>
      <c r="C306" s="7">
        <v>0.67327546296296292</v>
      </c>
      <c r="D306" s="8">
        <v>8</v>
      </c>
      <c r="E306" s="8">
        <v>1.23</v>
      </c>
      <c r="F306" s="8">
        <v>0.56999999999999995</v>
      </c>
      <c r="G306" s="9">
        <v>5.08</v>
      </c>
      <c r="H306" s="18">
        <f t="shared" si="4"/>
        <v>9</v>
      </c>
    </row>
    <row r="307" spans="1:8" x14ac:dyDescent="0.25">
      <c r="A307" s="10">
        <v>44867</v>
      </c>
      <c r="B307" s="11">
        <v>0.27184027777777775</v>
      </c>
      <c r="C307" s="11">
        <v>0.67199074074074072</v>
      </c>
      <c r="D307" s="12">
        <v>3</v>
      </c>
      <c r="E307" s="12">
        <v>5.84</v>
      </c>
      <c r="F307" s="12">
        <v>4.32</v>
      </c>
      <c r="G307" s="13">
        <v>2.95</v>
      </c>
      <c r="H307" s="18">
        <f t="shared" si="4"/>
        <v>9</v>
      </c>
    </row>
    <row r="308" spans="1:8" x14ac:dyDescent="0.25">
      <c r="A308" s="6">
        <v>44868</v>
      </c>
      <c r="B308" s="7">
        <v>0.27309027777777778</v>
      </c>
      <c r="C308" s="7">
        <v>0.67072916666666671</v>
      </c>
      <c r="D308" s="8">
        <v>3</v>
      </c>
      <c r="E308" s="8">
        <v>4.55</v>
      </c>
      <c r="F308" s="8">
        <v>3.94</v>
      </c>
      <c r="G308" s="9">
        <v>6.57</v>
      </c>
      <c r="H308" s="18">
        <f t="shared" si="4"/>
        <v>9</v>
      </c>
    </row>
    <row r="309" spans="1:8" x14ac:dyDescent="0.25">
      <c r="A309" s="10">
        <v>44869</v>
      </c>
      <c r="B309" s="11">
        <v>0.27434027777777775</v>
      </c>
      <c r="C309" s="11">
        <v>0.66947916666666663</v>
      </c>
      <c r="D309" s="12">
        <v>3</v>
      </c>
      <c r="E309" s="12">
        <v>4.7</v>
      </c>
      <c r="F309" s="12">
        <v>3.64</v>
      </c>
      <c r="G309" s="13">
        <v>4.21</v>
      </c>
      <c r="H309" s="18">
        <f t="shared" si="4"/>
        <v>9</v>
      </c>
    </row>
    <row r="310" spans="1:8" x14ac:dyDescent="0.25">
      <c r="A310" s="6">
        <v>44870</v>
      </c>
      <c r="B310" s="7">
        <v>0.27560185185185188</v>
      </c>
      <c r="C310" s="7">
        <v>0.66826388888888888</v>
      </c>
      <c r="D310" s="8">
        <v>2</v>
      </c>
      <c r="E310" s="8">
        <v>5.19</v>
      </c>
      <c r="F310" s="8">
        <v>3.65</v>
      </c>
      <c r="G310" s="9">
        <v>5.32</v>
      </c>
      <c r="H310" s="18">
        <f t="shared" si="4"/>
        <v>9</v>
      </c>
    </row>
    <row r="311" spans="1:8" x14ac:dyDescent="0.25">
      <c r="A311" s="10">
        <v>44871</v>
      </c>
      <c r="B311" s="11">
        <v>0.27685185185185185</v>
      </c>
      <c r="C311" s="11">
        <v>0.66706018518518517</v>
      </c>
      <c r="D311" s="12">
        <v>1</v>
      </c>
      <c r="E311" s="12">
        <v>7.75</v>
      </c>
      <c r="F311" s="12">
        <v>3.84</v>
      </c>
      <c r="G311" s="13">
        <v>3.65</v>
      </c>
      <c r="H311" s="18">
        <f t="shared" si="4"/>
        <v>9</v>
      </c>
    </row>
    <row r="312" spans="1:8" x14ac:dyDescent="0.25">
      <c r="A312" s="6">
        <v>44872</v>
      </c>
      <c r="B312" s="7">
        <v>0.27810185185185188</v>
      </c>
      <c r="C312" s="7">
        <v>0.66587962962962965</v>
      </c>
      <c r="D312" s="8">
        <v>4</v>
      </c>
      <c r="E312" s="8">
        <v>4.07</v>
      </c>
      <c r="F312" s="8">
        <v>3.21</v>
      </c>
      <c r="G312" s="9">
        <v>3.48</v>
      </c>
      <c r="H312" s="18">
        <f t="shared" si="4"/>
        <v>9</v>
      </c>
    </row>
    <row r="313" spans="1:8" x14ac:dyDescent="0.25">
      <c r="A313" s="10">
        <v>44873</v>
      </c>
      <c r="B313" s="11">
        <v>0.27935185185185185</v>
      </c>
      <c r="C313" s="11">
        <v>0.66471064814814818</v>
      </c>
      <c r="D313" s="12">
        <v>3</v>
      </c>
      <c r="E313" s="12">
        <v>5.63</v>
      </c>
      <c r="F313" s="12">
        <v>4.2300000000000004</v>
      </c>
      <c r="G313" s="13">
        <v>4.6100000000000003</v>
      </c>
      <c r="H313" s="18">
        <f t="shared" si="4"/>
        <v>9</v>
      </c>
    </row>
    <row r="314" spans="1:8" x14ac:dyDescent="0.25">
      <c r="A314" s="6">
        <v>44874</v>
      </c>
      <c r="B314" s="7">
        <v>0.28059027777777779</v>
      </c>
      <c r="C314" s="7">
        <v>0.66357638888888892</v>
      </c>
      <c r="D314" s="8">
        <v>6</v>
      </c>
      <c r="E314" s="8">
        <v>3.14</v>
      </c>
      <c r="F314" s="8">
        <v>1.65</v>
      </c>
      <c r="G314" s="9">
        <v>2.96</v>
      </c>
      <c r="H314" s="18">
        <f t="shared" si="4"/>
        <v>9</v>
      </c>
    </row>
    <row r="315" spans="1:8" x14ac:dyDescent="0.25">
      <c r="A315" s="10">
        <v>44875</v>
      </c>
      <c r="B315" s="11">
        <v>0.28184027777777776</v>
      </c>
      <c r="C315" s="11">
        <v>0.66246527777777775</v>
      </c>
      <c r="D315" s="12">
        <v>0</v>
      </c>
      <c r="E315" s="12">
        <v>11.93</v>
      </c>
      <c r="F315" s="12">
        <v>6.46</v>
      </c>
      <c r="G315" s="13">
        <v>4.0599999999999996</v>
      </c>
      <c r="H315" s="18">
        <f t="shared" si="4"/>
        <v>9</v>
      </c>
    </row>
    <row r="316" spans="1:8" x14ac:dyDescent="0.25">
      <c r="A316" s="6">
        <v>44876</v>
      </c>
      <c r="B316" s="7">
        <v>0.28307870370370369</v>
      </c>
      <c r="C316" s="7">
        <v>0.66136574074074073</v>
      </c>
      <c r="D316" s="8">
        <v>4</v>
      </c>
      <c r="E316" s="8">
        <v>5.15</v>
      </c>
      <c r="F316" s="8">
        <v>2.4900000000000002</v>
      </c>
      <c r="G316" s="9">
        <v>3.84</v>
      </c>
      <c r="H316" s="18">
        <f t="shared" si="4"/>
        <v>9</v>
      </c>
    </row>
    <row r="317" spans="1:8" x14ac:dyDescent="0.25">
      <c r="A317" s="10">
        <v>44877</v>
      </c>
      <c r="B317" s="11">
        <v>0.28430555555555553</v>
      </c>
      <c r="C317" s="11">
        <v>0.66030092592592593</v>
      </c>
      <c r="D317" s="12">
        <v>3</v>
      </c>
      <c r="E317" s="12">
        <v>4.75</v>
      </c>
      <c r="F317" s="12">
        <v>3.49</v>
      </c>
      <c r="G317" s="13">
        <v>5.09</v>
      </c>
      <c r="H317" s="18">
        <f t="shared" si="4"/>
        <v>9</v>
      </c>
    </row>
    <row r="318" spans="1:8" x14ac:dyDescent="0.25">
      <c r="A318" s="6">
        <v>44878</v>
      </c>
      <c r="B318" s="7">
        <v>0.28554398148148147</v>
      </c>
      <c r="C318" s="7">
        <v>0.65925925925925921</v>
      </c>
      <c r="D318" s="8">
        <v>3</v>
      </c>
      <c r="E318" s="8">
        <v>4.16</v>
      </c>
      <c r="F318" s="8">
        <v>3.02</v>
      </c>
      <c r="G318" s="9">
        <v>4.1900000000000004</v>
      </c>
      <c r="H318" s="18">
        <f t="shared" si="4"/>
        <v>8</v>
      </c>
    </row>
    <row r="319" spans="1:8" x14ac:dyDescent="0.25">
      <c r="A319" s="10">
        <v>44879</v>
      </c>
      <c r="B319" s="11">
        <v>0.28675925925925927</v>
      </c>
      <c r="C319" s="11">
        <v>0.65824074074074079</v>
      </c>
      <c r="D319" s="12">
        <v>2</v>
      </c>
      <c r="E319" s="12">
        <v>5.19</v>
      </c>
      <c r="F319" s="12">
        <v>2.94</v>
      </c>
      <c r="G319" s="13">
        <v>4.9400000000000004</v>
      </c>
      <c r="H319" s="18">
        <f t="shared" si="4"/>
        <v>8</v>
      </c>
    </row>
    <row r="320" spans="1:8" x14ac:dyDescent="0.25">
      <c r="A320" s="6">
        <v>44880</v>
      </c>
      <c r="B320" s="7">
        <v>0.28797453703703701</v>
      </c>
      <c r="C320" s="7">
        <v>0.65725694444444449</v>
      </c>
      <c r="D320" s="8">
        <v>8</v>
      </c>
      <c r="E320" s="8">
        <v>1.38</v>
      </c>
      <c r="F320" s="8">
        <v>0.4</v>
      </c>
      <c r="G320" s="9">
        <v>6.48</v>
      </c>
      <c r="H320" s="18">
        <f t="shared" si="4"/>
        <v>8</v>
      </c>
    </row>
    <row r="321" spans="1:8" x14ac:dyDescent="0.25">
      <c r="A321" s="10">
        <v>44881</v>
      </c>
      <c r="B321" s="11">
        <v>0.28918981481481482</v>
      </c>
      <c r="C321" s="11">
        <v>0.65628472222222223</v>
      </c>
      <c r="D321" s="12">
        <v>8</v>
      </c>
      <c r="E321" s="12">
        <v>1.53</v>
      </c>
      <c r="F321" s="12">
        <v>0.23</v>
      </c>
      <c r="G321" s="13">
        <v>3.95</v>
      </c>
      <c r="H321" s="18">
        <f t="shared" si="4"/>
        <v>8</v>
      </c>
    </row>
    <row r="322" spans="1:8" x14ac:dyDescent="0.25">
      <c r="A322" s="6">
        <v>44882</v>
      </c>
      <c r="B322" s="7">
        <v>0.29038194444444443</v>
      </c>
      <c r="C322" s="7">
        <v>0.65534722222222219</v>
      </c>
      <c r="D322" s="8">
        <v>2</v>
      </c>
      <c r="E322" s="8">
        <v>4.1900000000000004</v>
      </c>
      <c r="F322" s="8">
        <v>1.92</v>
      </c>
      <c r="G322" s="9">
        <v>3.24</v>
      </c>
      <c r="H322" s="18">
        <f t="shared" si="4"/>
        <v>8</v>
      </c>
    </row>
    <row r="323" spans="1:8" x14ac:dyDescent="0.25">
      <c r="A323" s="10">
        <v>44883</v>
      </c>
      <c r="B323" s="11">
        <v>0.2915740740740741</v>
      </c>
      <c r="C323" s="11">
        <v>0.6544444444444445</v>
      </c>
      <c r="D323" s="12">
        <v>5</v>
      </c>
      <c r="E323" s="12">
        <v>3.63</v>
      </c>
      <c r="F323" s="12">
        <v>1.48</v>
      </c>
      <c r="G323" s="13">
        <v>2.96</v>
      </c>
      <c r="H323" s="18">
        <f t="shared" ref="H323:H366" si="5">INT((C323-B323)*24)</f>
        <v>8</v>
      </c>
    </row>
    <row r="324" spans="1:8" x14ac:dyDescent="0.25">
      <c r="A324" s="6">
        <v>44884</v>
      </c>
      <c r="B324" s="7">
        <v>0.29276620370370371</v>
      </c>
      <c r="C324" s="7">
        <v>0.65356481481481477</v>
      </c>
      <c r="D324" s="8">
        <v>5</v>
      </c>
      <c r="E324" s="8">
        <v>3.6</v>
      </c>
      <c r="F324" s="8">
        <v>2.06</v>
      </c>
      <c r="G324" s="9">
        <v>2.72</v>
      </c>
      <c r="H324" s="18">
        <f t="shared" si="5"/>
        <v>8</v>
      </c>
    </row>
    <row r="325" spans="1:8" x14ac:dyDescent="0.25">
      <c r="A325" s="10">
        <v>44885</v>
      </c>
      <c r="B325" s="11">
        <v>0.29393518518518519</v>
      </c>
      <c r="C325" s="11">
        <v>0.65270833333333333</v>
      </c>
      <c r="D325" s="12">
        <v>2</v>
      </c>
      <c r="E325" s="12">
        <v>6.14</v>
      </c>
      <c r="F325" s="12">
        <v>5.07</v>
      </c>
      <c r="G325" s="13">
        <v>3.94</v>
      </c>
      <c r="H325" s="18">
        <f t="shared" si="5"/>
        <v>8</v>
      </c>
    </row>
    <row r="326" spans="1:8" x14ac:dyDescent="0.25">
      <c r="A326" s="6">
        <v>44886</v>
      </c>
      <c r="B326" s="7">
        <v>0.29509259259259257</v>
      </c>
      <c r="C326" s="7">
        <v>0.65188657407407402</v>
      </c>
      <c r="D326" s="8">
        <v>5</v>
      </c>
      <c r="E326" s="8">
        <v>3.16</v>
      </c>
      <c r="F326" s="8">
        <v>2.11</v>
      </c>
      <c r="G326" s="9">
        <v>4.08</v>
      </c>
      <c r="H326" s="18">
        <f t="shared" si="5"/>
        <v>8</v>
      </c>
    </row>
    <row r="327" spans="1:8" x14ac:dyDescent="0.25">
      <c r="A327" s="10">
        <v>44887</v>
      </c>
      <c r="B327" s="11">
        <v>0.29623842592592592</v>
      </c>
      <c r="C327" s="11">
        <v>0.65109953703703705</v>
      </c>
      <c r="D327" s="12">
        <v>4</v>
      </c>
      <c r="E327" s="12">
        <v>4.0999999999999996</v>
      </c>
      <c r="F327" s="12">
        <v>3.41</v>
      </c>
      <c r="G327" s="13">
        <v>4.6100000000000003</v>
      </c>
      <c r="H327" s="18">
        <f t="shared" si="5"/>
        <v>8</v>
      </c>
    </row>
    <row r="328" spans="1:8" x14ac:dyDescent="0.25">
      <c r="A328" s="6">
        <v>44888</v>
      </c>
      <c r="B328" s="7">
        <v>0.29737268518518517</v>
      </c>
      <c r="C328" s="7">
        <v>0.65034722222222219</v>
      </c>
      <c r="D328" s="8">
        <v>7</v>
      </c>
      <c r="E328" s="8">
        <v>2.91</v>
      </c>
      <c r="F328" s="8">
        <v>1.06</v>
      </c>
      <c r="G328" s="9">
        <v>5.07</v>
      </c>
      <c r="H328" s="18">
        <f t="shared" si="5"/>
        <v>8</v>
      </c>
    </row>
    <row r="329" spans="1:8" x14ac:dyDescent="0.25">
      <c r="A329" s="10">
        <v>44889</v>
      </c>
      <c r="B329" s="11">
        <v>0.29849537037037038</v>
      </c>
      <c r="C329" s="11">
        <v>0.64961805555555552</v>
      </c>
      <c r="D329" s="12">
        <v>6</v>
      </c>
      <c r="E329" s="12">
        <v>3.18</v>
      </c>
      <c r="F329" s="12">
        <v>1.37</v>
      </c>
      <c r="G329" s="13">
        <v>4.16</v>
      </c>
      <c r="H329" s="18">
        <f t="shared" si="5"/>
        <v>8</v>
      </c>
    </row>
    <row r="330" spans="1:8" x14ac:dyDescent="0.25">
      <c r="A330" s="6">
        <v>44890</v>
      </c>
      <c r="B330" s="7">
        <v>0.2996064814814815</v>
      </c>
      <c r="C330" s="7">
        <v>0.64892361111111108</v>
      </c>
      <c r="D330" s="8">
        <v>7</v>
      </c>
      <c r="E330" s="8">
        <v>2.52</v>
      </c>
      <c r="F330" s="8">
        <v>1.46</v>
      </c>
      <c r="G330" s="9">
        <v>5.24</v>
      </c>
      <c r="H330" s="18">
        <f t="shared" si="5"/>
        <v>8</v>
      </c>
    </row>
    <row r="331" spans="1:8" x14ac:dyDescent="0.25">
      <c r="A331" s="10">
        <v>44891</v>
      </c>
      <c r="B331" s="11">
        <v>0.30069444444444443</v>
      </c>
      <c r="C331" s="11">
        <v>0.64826388888888886</v>
      </c>
      <c r="D331" s="12">
        <v>6</v>
      </c>
      <c r="E331" s="12">
        <v>3.85</v>
      </c>
      <c r="F331" s="12">
        <v>1.1599999999999999</v>
      </c>
      <c r="G331" s="13">
        <v>6.08</v>
      </c>
      <c r="H331" s="18">
        <f t="shared" si="5"/>
        <v>8</v>
      </c>
    </row>
    <row r="332" spans="1:8" x14ac:dyDescent="0.25">
      <c r="A332" s="6">
        <v>44892</v>
      </c>
      <c r="B332" s="7">
        <v>0.30177083333333332</v>
      </c>
      <c r="C332" s="7">
        <v>0.64763888888888888</v>
      </c>
      <c r="D332" s="8">
        <v>8</v>
      </c>
      <c r="E332" s="8">
        <v>1.84</v>
      </c>
      <c r="F332" s="8">
        <v>0.47</v>
      </c>
      <c r="G332" s="9">
        <v>4.66</v>
      </c>
      <c r="H332" s="18">
        <f t="shared" si="5"/>
        <v>8</v>
      </c>
    </row>
    <row r="333" spans="1:8" x14ac:dyDescent="0.25">
      <c r="A333" s="10">
        <v>44893</v>
      </c>
      <c r="B333" s="11">
        <v>0.30282407407407408</v>
      </c>
      <c r="C333" s="11">
        <v>0.64704861111111112</v>
      </c>
      <c r="D333" s="12">
        <v>8</v>
      </c>
      <c r="E333" s="12">
        <v>1.59</v>
      </c>
      <c r="F333" s="12">
        <v>0.42</v>
      </c>
      <c r="G333" s="13">
        <v>4.9800000000000004</v>
      </c>
      <c r="H333" s="18">
        <f t="shared" si="5"/>
        <v>8</v>
      </c>
    </row>
    <row r="334" spans="1:8" x14ac:dyDescent="0.25">
      <c r="A334" s="6">
        <v>44894</v>
      </c>
      <c r="B334" s="7">
        <v>0.30385416666666665</v>
      </c>
      <c r="C334" s="7">
        <v>0.64649305555555558</v>
      </c>
      <c r="D334" s="8">
        <v>8</v>
      </c>
      <c r="E334" s="8">
        <v>1.34</v>
      </c>
      <c r="F334" s="8">
        <v>0.27</v>
      </c>
      <c r="G334" s="9">
        <v>3.95</v>
      </c>
      <c r="H334" s="18">
        <f t="shared" si="5"/>
        <v>8</v>
      </c>
    </row>
    <row r="335" spans="1:8" x14ac:dyDescent="0.25">
      <c r="A335" s="10">
        <v>44895</v>
      </c>
      <c r="B335" s="11">
        <v>0.30487268518518518</v>
      </c>
      <c r="C335" s="11">
        <v>0.64597222222222217</v>
      </c>
      <c r="D335" s="12">
        <v>8</v>
      </c>
      <c r="E335" s="12">
        <v>1.1399999999999999</v>
      </c>
      <c r="F335" s="12">
        <v>0</v>
      </c>
      <c r="G335" s="13">
        <v>7.02</v>
      </c>
      <c r="H335" s="18">
        <f t="shared" si="5"/>
        <v>8</v>
      </c>
    </row>
    <row r="336" spans="1:8" x14ac:dyDescent="0.25">
      <c r="A336" s="6">
        <v>44896</v>
      </c>
      <c r="B336" s="7">
        <v>0.30586805555555557</v>
      </c>
      <c r="C336" s="7">
        <v>0.64549768518518513</v>
      </c>
      <c r="D336" s="8">
        <v>7</v>
      </c>
      <c r="E336" s="8">
        <v>2.4900000000000002</v>
      </c>
      <c r="F336" s="8">
        <v>1.06</v>
      </c>
      <c r="G336" s="9">
        <v>6.09</v>
      </c>
      <c r="H336" s="18">
        <f t="shared" si="5"/>
        <v>8</v>
      </c>
    </row>
    <row r="337" spans="1:8" x14ac:dyDescent="0.25">
      <c r="A337" s="10">
        <v>44897</v>
      </c>
      <c r="B337" s="11">
        <v>0.30684027777777778</v>
      </c>
      <c r="C337" s="11">
        <v>0.64504629629629628</v>
      </c>
      <c r="D337" s="12">
        <v>6</v>
      </c>
      <c r="E337" s="12">
        <v>2.37</v>
      </c>
      <c r="F337" s="12">
        <v>1.6</v>
      </c>
      <c r="G337" s="13">
        <v>5.87</v>
      </c>
      <c r="H337" s="18">
        <f t="shared" si="5"/>
        <v>8</v>
      </c>
    </row>
    <row r="338" spans="1:8" x14ac:dyDescent="0.25">
      <c r="A338" s="6">
        <v>44898</v>
      </c>
      <c r="B338" s="7">
        <v>0.30778935185185186</v>
      </c>
      <c r="C338" s="7">
        <v>0.6446412037037037</v>
      </c>
      <c r="D338" s="8">
        <v>5</v>
      </c>
      <c r="E338" s="8">
        <v>3.36</v>
      </c>
      <c r="F338" s="8">
        <v>2.41</v>
      </c>
      <c r="G338" s="9">
        <v>4.95</v>
      </c>
      <c r="H338" s="18">
        <f t="shared" si="5"/>
        <v>8</v>
      </c>
    </row>
    <row r="339" spans="1:8" x14ac:dyDescent="0.25">
      <c r="A339" s="10">
        <v>44899</v>
      </c>
      <c r="B339" s="11">
        <v>0.3087152777777778</v>
      </c>
      <c r="C339" s="11">
        <v>0.64425925925925931</v>
      </c>
      <c r="D339" s="12">
        <v>8</v>
      </c>
      <c r="E339" s="12">
        <v>1.32</v>
      </c>
      <c r="F339" s="12">
        <v>0.54</v>
      </c>
      <c r="G339" s="13">
        <v>5.16</v>
      </c>
      <c r="H339" s="18">
        <f t="shared" si="5"/>
        <v>8</v>
      </c>
    </row>
    <row r="340" spans="1:8" x14ac:dyDescent="0.25">
      <c r="A340" s="6">
        <v>44900</v>
      </c>
      <c r="B340" s="7">
        <v>0.30961805555555555</v>
      </c>
      <c r="C340" s="7">
        <v>0.64393518518518522</v>
      </c>
      <c r="D340" s="8">
        <v>7</v>
      </c>
      <c r="E340" s="8">
        <v>2.48</v>
      </c>
      <c r="F340" s="8">
        <v>0.49</v>
      </c>
      <c r="G340" s="9">
        <v>5.04</v>
      </c>
      <c r="H340" s="18">
        <f t="shared" si="5"/>
        <v>8</v>
      </c>
    </row>
    <row r="341" spans="1:8" x14ac:dyDescent="0.25">
      <c r="A341" s="10">
        <v>44901</v>
      </c>
      <c r="B341" s="11">
        <v>0.31049768518518517</v>
      </c>
      <c r="C341" s="11">
        <v>0.64363425925925921</v>
      </c>
      <c r="D341" s="12">
        <v>7</v>
      </c>
      <c r="E341" s="12">
        <v>2.2000000000000002</v>
      </c>
      <c r="F341" s="12">
        <v>0.61</v>
      </c>
      <c r="G341" s="13">
        <v>4.92</v>
      </c>
      <c r="H341" s="18">
        <f t="shared" si="5"/>
        <v>7</v>
      </c>
    </row>
    <row r="342" spans="1:8" x14ac:dyDescent="0.25">
      <c r="A342" s="6">
        <v>44902</v>
      </c>
      <c r="B342" s="7">
        <v>0.31134259259259262</v>
      </c>
      <c r="C342" s="7">
        <v>0.64337962962962958</v>
      </c>
      <c r="D342" s="8">
        <v>7</v>
      </c>
      <c r="E342" s="8">
        <v>2.87</v>
      </c>
      <c r="F342" s="8">
        <v>0.35</v>
      </c>
      <c r="G342" s="9">
        <v>5.03</v>
      </c>
      <c r="H342" s="18">
        <f t="shared" si="5"/>
        <v>7</v>
      </c>
    </row>
    <row r="343" spans="1:8" x14ac:dyDescent="0.25">
      <c r="A343" s="10">
        <v>44903</v>
      </c>
      <c r="B343" s="11">
        <v>0.31216435185185187</v>
      </c>
      <c r="C343" s="11">
        <v>0.64317129629629632</v>
      </c>
      <c r="D343" s="12">
        <v>7</v>
      </c>
      <c r="E343" s="12">
        <v>2.8</v>
      </c>
      <c r="F343" s="12">
        <v>1.24</v>
      </c>
      <c r="G343" s="13">
        <v>4.29</v>
      </c>
      <c r="H343" s="18">
        <f t="shared" si="5"/>
        <v>7</v>
      </c>
    </row>
    <row r="344" spans="1:8" x14ac:dyDescent="0.25">
      <c r="A344" s="6">
        <v>44904</v>
      </c>
      <c r="B344" s="7">
        <v>0.3129513888888889</v>
      </c>
      <c r="C344" s="7">
        <v>0.64298611111111115</v>
      </c>
      <c r="D344" s="8">
        <v>6</v>
      </c>
      <c r="E344" s="8">
        <v>2.95</v>
      </c>
      <c r="F344" s="8">
        <v>1.42</v>
      </c>
      <c r="G344" s="9">
        <v>4.25</v>
      </c>
      <c r="H344" s="18">
        <f t="shared" si="5"/>
        <v>7</v>
      </c>
    </row>
    <row r="345" spans="1:8" x14ac:dyDescent="0.25">
      <c r="A345" s="10">
        <v>44905</v>
      </c>
      <c r="B345" s="11">
        <v>0.3137152777777778</v>
      </c>
      <c r="C345" s="11">
        <v>0.64285879629629628</v>
      </c>
      <c r="D345" s="12">
        <v>6</v>
      </c>
      <c r="E345" s="12">
        <v>3.38</v>
      </c>
      <c r="F345" s="12">
        <v>1.66</v>
      </c>
      <c r="G345" s="13">
        <v>5.07</v>
      </c>
      <c r="H345" s="18">
        <f t="shared" si="5"/>
        <v>7</v>
      </c>
    </row>
    <row r="346" spans="1:8" x14ac:dyDescent="0.25">
      <c r="A346" s="6">
        <v>44906</v>
      </c>
      <c r="B346" s="7">
        <v>0.31444444444444447</v>
      </c>
      <c r="C346" s="7">
        <v>0.64275462962962959</v>
      </c>
      <c r="D346" s="8">
        <v>7</v>
      </c>
      <c r="E346" s="8">
        <v>2.11</v>
      </c>
      <c r="F346" s="8">
        <v>0.84</v>
      </c>
      <c r="G346" s="9">
        <v>5.38</v>
      </c>
      <c r="H346" s="18">
        <f t="shared" si="5"/>
        <v>7</v>
      </c>
    </row>
    <row r="347" spans="1:8" x14ac:dyDescent="0.25">
      <c r="A347" s="10">
        <v>44907</v>
      </c>
      <c r="B347" s="11">
        <v>0.31515046296296295</v>
      </c>
      <c r="C347" s="11">
        <v>0.64269675925925929</v>
      </c>
      <c r="D347" s="12">
        <v>8</v>
      </c>
      <c r="E347" s="12">
        <v>1.31</v>
      </c>
      <c r="F347" s="12">
        <v>0.05</v>
      </c>
      <c r="G347" s="13">
        <v>6.3</v>
      </c>
      <c r="H347" s="18">
        <f t="shared" si="5"/>
        <v>7</v>
      </c>
    </row>
    <row r="348" spans="1:8" x14ac:dyDescent="0.25">
      <c r="A348" s="6">
        <v>44908</v>
      </c>
      <c r="B348" s="7">
        <v>0.31581018518518517</v>
      </c>
      <c r="C348" s="7">
        <v>0.64268518518518514</v>
      </c>
      <c r="D348" s="8">
        <v>7</v>
      </c>
      <c r="E348" s="8">
        <v>2.0299999999999998</v>
      </c>
      <c r="F348" s="8">
        <v>1.02</v>
      </c>
      <c r="G348" s="9">
        <v>6.12</v>
      </c>
      <c r="H348" s="18">
        <f t="shared" si="5"/>
        <v>7</v>
      </c>
    </row>
    <row r="349" spans="1:8" x14ac:dyDescent="0.25">
      <c r="A349" s="10">
        <v>44909</v>
      </c>
      <c r="B349" s="11">
        <v>0.31644675925925925</v>
      </c>
      <c r="C349" s="11">
        <v>0.64270833333333333</v>
      </c>
      <c r="D349" s="12">
        <v>8</v>
      </c>
      <c r="E349" s="12">
        <v>1.5</v>
      </c>
      <c r="F349" s="12">
        <v>0.14000000000000001</v>
      </c>
      <c r="G349" s="13">
        <v>6.01</v>
      </c>
      <c r="H349" s="18">
        <f t="shared" si="5"/>
        <v>7</v>
      </c>
    </row>
    <row r="350" spans="1:8" x14ac:dyDescent="0.25">
      <c r="A350" s="6">
        <v>44910</v>
      </c>
      <c r="B350" s="7">
        <v>0.3170486111111111</v>
      </c>
      <c r="C350" s="7">
        <v>0.64277777777777778</v>
      </c>
      <c r="D350" s="8">
        <v>5</v>
      </c>
      <c r="E350" s="8">
        <v>3.8</v>
      </c>
      <c r="F350" s="8">
        <v>0.24</v>
      </c>
      <c r="G350" s="9">
        <v>4.92</v>
      </c>
      <c r="H350" s="18">
        <f t="shared" si="5"/>
        <v>7</v>
      </c>
    </row>
    <row r="351" spans="1:8" x14ac:dyDescent="0.25">
      <c r="A351" s="10">
        <v>44911</v>
      </c>
      <c r="B351" s="11">
        <v>0.31761574074074073</v>
      </c>
      <c r="C351" s="11">
        <v>0.64288194444444446</v>
      </c>
      <c r="D351" s="12">
        <v>7</v>
      </c>
      <c r="E351" s="12">
        <v>2.11</v>
      </c>
      <c r="F351" s="12">
        <v>0.6</v>
      </c>
      <c r="G351" s="13">
        <v>4.95</v>
      </c>
      <c r="H351" s="18">
        <f t="shared" si="5"/>
        <v>7</v>
      </c>
    </row>
    <row r="352" spans="1:8" x14ac:dyDescent="0.25">
      <c r="A352" s="6">
        <v>44912</v>
      </c>
      <c r="B352" s="7">
        <v>0.31813657407407409</v>
      </c>
      <c r="C352" s="7">
        <v>0.64303240740740741</v>
      </c>
      <c r="D352" s="8">
        <v>7</v>
      </c>
      <c r="E352" s="8">
        <v>2.2200000000000002</v>
      </c>
      <c r="F352" s="8">
        <v>0.95</v>
      </c>
      <c r="G352" s="9">
        <v>6.02</v>
      </c>
      <c r="H352" s="18">
        <f t="shared" si="5"/>
        <v>7</v>
      </c>
    </row>
    <row r="353" spans="1:8" x14ac:dyDescent="0.25">
      <c r="A353" s="10">
        <v>44913</v>
      </c>
      <c r="B353" s="11">
        <v>0.31863425925925926</v>
      </c>
      <c r="C353" s="11">
        <v>0.64321759259259259</v>
      </c>
      <c r="D353" s="12">
        <v>7</v>
      </c>
      <c r="E353" s="12">
        <v>2.82</v>
      </c>
      <c r="F353" s="12">
        <v>0.3</v>
      </c>
      <c r="G353" s="13">
        <v>4.6500000000000004</v>
      </c>
      <c r="H353" s="18">
        <f t="shared" si="5"/>
        <v>7</v>
      </c>
    </row>
    <row r="354" spans="1:8" x14ac:dyDescent="0.25">
      <c r="A354" s="6">
        <v>44914</v>
      </c>
      <c r="B354" s="7">
        <v>0.3190972222222222</v>
      </c>
      <c r="C354" s="7">
        <v>0.64344907407407403</v>
      </c>
      <c r="D354" s="8">
        <v>8</v>
      </c>
      <c r="E354" s="8">
        <v>1.25</v>
      </c>
      <c r="F354" s="8">
        <v>0.32</v>
      </c>
      <c r="G354" s="9">
        <v>6.04</v>
      </c>
      <c r="H354" s="18">
        <f t="shared" si="5"/>
        <v>7</v>
      </c>
    </row>
    <row r="355" spans="1:8" x14ac:dyDescent="0.25">
      <c r="A355" s="10">
        <v>44915</v>
      </c>
      <c r="B355" s="11">
        <v>0.31951388888888888</v>
      </c>
      <c r="C355" s="11">
        <v>0.64371527777777782</v>
      </c>
      <c r="D355" s="12">
        <v>8</v>
      </c>
      <c r="E355" s="12">
        <v>1.55</v>
      </c>
      <c r="F355" s="12">
        <v>0.12</v>
      </c>
      <c r="G355" s="13">
        <v>4.43</v>
      </c>
      <c r="H355" s="18">
        <f t="shared" si="5"/>
        <v>7</v>
      </c>
    </row>
    <row r="356" spans="1:8" x14ac:dyDescent="0.25">
      <c r="A356" s="6">
        <v>44916</v>
      </c>
      <c r="B356" s="7">
        <v>0.31989583333333332</v>
      </c>
      <c r="C356" s="7">
        <v>0.64402777777777775</v>
      </c>
      <c r="D356" s="8">
        <v>8</v>
      </c>
      <c r="E356" s="8">
        <v>1.77</v>
      </c>
      <c r="F356" s="8">
        <v>0.14000000000000001</v>
      </c>
      <c r="G356" s="9">
        <v>6.21</v>
      </c>
      <c r="H356" s="18">
        <f t="shared" si="5"/>
        <v>7</v>
      </c>
    </row>
    <row r="357" spans="1:8" x14ac:dyDescent="0.25">
      <c r="A357" s="10">
        <v>44917</v>
      </c>
      <c r="B357" s="11">
        <v>0.32023148148148151</v>
      </c>
      <c r="C357" s="11">
        <v>0.64437500000000003</v>
      </c>
      <c r="D357" s="12">
        <v>8</v>
      </c>
      <c r="E357" s="12">
        <v>1.31</v>
      </c>
      <c r="F357" s="12">
        <v>0.17</v>
      </c>
      <c r="G357" s="13">
        <v>4.8499999999999996</v>
      </c>
      <c r="H357" s="18">
        <f t="shared" si="5"/>
        <v>7</v>
      </c>
    </row>
    <row r="358" spans="1:8" x14ac:dyDescent="0.25">
      <c r="A358" s="6">
        <v>44918</v>
      </c>
      <c r="B358" s="7">
        <v>0.3205439814814815</v>
      </c>
      <c r="C358" s="7">
        <v>0.64475694444444442</v>
      </c>
      <c r="D358" s="8">
        <v>6</v>
      </c>
      <c r="E358" s="8">
        <v>3.04</v>
      </c>
      <c r="F358" s="8">
        <v>0.72</v>
      </c>
      <c r="G358" s="9">
        <v>4.12</v>
      </c>
      <c r="H358" s="18">
        <f t="shared" si="5"/>
        <v>7</v>
      </c>
    </row>
    <row r="359" spans="1:8" x14ac:dyDescent="0.25">
      <c r="A359" s="10">
        <v>44919</v>
      </c>
      <c r="B359" s="11">
        <v>0.32081018518518517</v>
      </c>
      <c r="C359" s="11">
        <v>0.64518518518518519</v>
      </c>
      <c r="D359" s="12">
        <v>8</v>
      </c>
      <c r="E359" s="12">
        <v>1.0900000000000001</v>
      </c>
      <c r="F359" s="12">
        <v>0.09</v>
      </c>
      <c r="G359" s="13">
        <v>6.07</v>
      </c>
      <c r="H359" s="18">
        <f t="shared" si="5"/>
        <v>7</v>
      </c>
    </row>
    <row r="360" spans="1:8" x14ac:dyDescent="0.25">
      <c r="A360" s="6">
        <v>44920</v>
      </c>
      <c r="B360" s="7">
        <v>0.32103009259259258</v>
      </c>
      <c r="C360" s="7">
        <v>0.64564814814814819</v>
      </c>
      <c r="D360" s="8">
        <v>7</v>
      </c>
      <c r="E360" s="8">
        <v>2.92</v>
      </c>
      <c r="F360" s="8">
        <v>1.05</v>
      </c>
      <c r="G360" s="9">
        <v>4.1399999999999997</v>
      </c>
      <c r="H360" s="18">
        <f t="shared" si="5"/>
        <v>7</v>
      </c>
    </row>
    <row r="361" spans="1:8" x14ac:dyDescent="0.25">
      <c r="A361" s="10">
        <v>44921</v>
      </c>
      <c r="B361" s="11">
        <v>0.32121527777777775</v>
      </c>
      <c r="C361" s="11">
        <v>0.64614583333333331</v>
      </c>
      <c r="D361" s="12">
        <v>6</v>
      </c>
      <c r="E361" s="12">
        <v>3.24</v>
      </c>
      <c r="F361" s="12">
        <v>2.04</v>
      </c>
      <c r="G361" s="13">
        <v>5.0199999999999996</v>
      </c>
      <c r="H361" s="18">
        <f t="shared" si="5"/>
        <v>7</v>
      </c>
    </row>
    <row r="362" spans="1:8" x14ac:dyDescent="0.25">
      <c r="A362" s="6">
        <v>44922</v>
      </c>
      <c r="B362" s="7">
        <v>0.32136574074074076</v>
      </c>
      <c r="C362" s="7">
        <v>0.64667824074074076</v>
      </c>
      <c r="D362" s="8">
        <v>5</v>
      </c>
      <c r="E362" s="8">
        <v>3.79</v>
      </c>
      <c r="F362" s="8">
        <v>2.61</v>
      </c>
      <c r="G362" s="9">
        <v>4.6500000000000004</v>
      </c>
      <c r="H362" s="18">
        <f t="shared" si="5"/>
        <v>7</v>
      </c>
    </row>
    <row r="363" spans="1:8" x14ac:dyDescent="0.25">
      <c r="A363" s="10">
        <v>44923</v>
      </c>
      <c r="B363" s="11">
        <v>0.32146990740740738</v>
      </c>
      <c r="C363" s="11">
        <v>0.64725694444444448</v>
      </c>
      <c r="D363" s="12">
        <v>8</v>
      </c>
      <c r="E363" s="12">
        <v>1.54</v>
      </c>
      <c r="F363" s="12">
        <v>0.36</v>
      </c>
      <c r="G363" s="13">
        <v>4.1900000000000004</v>
      </c>
      <c r="H363" s="18">
        <f t="shared" si="5"/>
        <v>7</v>
      </c>
    </row>
    <row r="364" spans="1:8" x14ac:dyDescent="0.25">
      <c r="A364" s="6">
        <v>44924</v>
      </c>
      <c r="B364" s="7">
        <v>0.32153935185185184</v>
      </c>
      <c r="C364" s="7">
        <v>0.64787037037037032</v>
      </c>
      <c r="D364" s="8">
        <v>8</v>
      </c>
      <c r="E364" s="8">
        <v>1.21</v>
      </c>
      <c r="F364" s="8">
        <v>0.24</v>
      </c>
      <c r="G364" s="9">
        <v>5.39</v>
      </c>
      <c r="H364" s="18">
        <f t="shared" si="5"/>
        <v>7</v>
      </c>
    </row>
    <row r="365" spans="1:8" x14ac:dyDescent="0.25">
      <c r="A365" s="10">
        <v>44925</v>
      </c>
      <c r="B365" s="11">
        <v>0.32156249999999997</v>
      </c>
      <c r="C365" s="11">
        <v>0.64850694444444446</v>
      </c>
      <c r="D365" s="12">
        <v>5</v>
      </c>
      <c r="E365" s="12">
        <v>3.76</v>
      </c>
      <c r="F365" s="12">
        <v>0.22</v>
      </c>
      <c r="G365" s="13">
        <v>4.0599999999999996</v>
      </c>
      <c r="H365" s="18">
        <f t="shared" si="5"/>
        <v>7</v>
      </c>
    </row>
    <row r="366" spans="1:8" x14ac:dyDescent="0.25">
      <c r="A366" s="14">
        <v>44926</v>
      </c>
      <c r="B366" s="15">
        <v>0.32155092592592593</v>
      </c>
      <c r="C366" s="15">
        <v>0.64918981481481486</v>
      </c>
      <c r="D366" s="1">
        <v>8</v>
      </c>
      <c r="E366" s="1">
        <v>1.98</v>
      </c>
      <c r="F366" s="1">
        <v>0.03</v>
      </c>
      <c r="G366" s="2">
        <v>5.03</v>
      </c>
      <c r="H366" s="18">
        <f t="shared" si="5"/>
        <v>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1AE1-8A50-45D5-91ED-516AABA07678}">
  <dimension ref="A1:O367"/>
  <sheetViews>
    <sheetView zoomScale="85" zoomScaleNormal="85" workbookViewId="0">
      <selection activeCell="O5" sqref="O5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9.7109375" bestFit="1" customWidth="1"/>
    <col min="5" max="5" width="12" bestFit="1" customWidth="1"/>
    <col min="6" max="6" width="10.5703125" bestFit="1" customWidth="1"/>
    <col min="7" max="7" width="11.28515625" bestFit="1" customWidth="1"/>
  </cols>
  <sheetData>
    <row r="1" spans="1:15" x14ac:dyDescent="0.25">
      <c r="H1" t="s">
        <v>20</v>
      </c>
    </row>
    <row r="2" spans="1:1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>
        <v>67</v>
      </c>
      <c r="I2">
        <f>IF(H2&lt;50,1,0)</f>
        <v>0</v>
      </c>
      <c r="J2">
        <f>IF(H2&lt;0,1,0)</f>
        <v>0</v>
      </c>
      <c r="M2" t="s">
        <v>21</v>
      </c>
      <c r="N2">
        <f>SUM(I2:I367)</f>
        <v>156</v>
      </c>
      <c r="O2">
        <v>71</v>
      </c>
    </row>
    <row r="3" spans="1:15" x14ac:dyDescent="0.25">
      <c r="A3" s="6">
        <v>44562</v>
      </c>
      <c r="B3" s="7">
        <v>0.32148148148148148</v>
      </c>
      <c r="C3" s="7">
        <v>0.65008101851851852</v>
      </c>
      <c r="D3" s="8">
        <v>0</v>
      </c>
      <c r="E3" s="8">
        <v>7.78</v>
      </c>
      <c r="F3" s="8">
        <v>3.29</v>
      </c>
      <c r="G3" s="9">
        <v>4.5599999999999996</v>
      </c>
      <c r="H3">
        <f>H2+(F3*0.8)-G3</f>
        <v>65.072000000000003</v>
      </c>
      <c r="I3">
        <f t="shared" ref="I3:I66" si="0">IF(H3&lt;50,1,0)</f>
        <v>0</v>
      </c>
      <c r="J3">
        <f t="shared" ref="J3:J66" si="1">IF(H3&lt;0,1,0)</f>
        <v>0</v>
      </c>
    </row>
    <row r="4" spans="1:15" x14ac:dyDescent="0.25">
      <c r="A4" s="10">
        <v>44563</v>
      </c>
      <c r="B4" s="11">
        <v>0.3213773148148148</v>
      </c>
      <c r="C4" s="11">
        <v>0.65083333333333337</v>
      </c>
      <c r="D4" s="12">
        <v>4</v>
      </c>
      <c r="E4" s="12">
        <v>4.47</v>
      </c>
      <c r="F4" s="12">
        <v>1.23</v>
      </c>
      <c r="G4" s="13">
        <v>3.99</v>
      </c>
      <c r="H4">
        <f t="shared" ref="H4:H67" si="2">H3+(F4*0.8)-G4</f>
        <v>62.065999999999995</v>
      </c>
      <c r="I4">
        <f t="shared" si="0"/>
        <v>0</v>
      </c>
      <c r="J4">
        <f t="shared" si="1"/>
        <v>0</v>
      </c>
      <c r="M4">
        <f>SUM(J2:J367)</f>
        <v>0</v>
      </c>
      <c r="N4" t="str">
        <f>IF(M4&gt;0,"NIE","TAK")</f>
        <v>TAK</v>
      </c>
      <c r="O4">
        <v>67</v>
      </c>
    </row>
    <row r="5" spans="1:15" x14ac:dyDescent="0.25">
      <c r="A5" s="6">
        <v>44564</v>
      </c>
      <c r="B5" s="7">
        <v>0.32123842592592594</v>
      </c>
      <c r="C5" s="7">
        <v>0.65162037037037035</v>
      </c>
      <c r="D5" s="8">
        <v>4</v>
      </c>
      <c r="E5" s="8">
        <v>6.02</v>
      </c>
      <c r="F5" s="8">
        <v>4.74</v>
      </c>
      <c r="G5" s="9">
        <v>2.56</v>
      </c>
      <c r="H5">
        <f t="shared" si="2"/>
        <v>63.297999999999988</v>
      </c>
      <c r="I5">
        <f t="shared" si="0"/>
        <v>0</v>
      </c>
      <c r="J5">
        <f t="shared" si="1"/>
        <v>0</v>
      </c>
    </row>
    <row r="6" spans="1:15" x14ac:dyDescent="0.25">
      <c r="A6" s="10">
        <v>44565</v>
      </c>
      <c r="B6" s="11">
        <v>0.32105324074074076</v>
      </c>
      <c r="C6" s="11">
        <v>0.65243055555555551</v>
      </c>
      <c r="D6" s="12">
        <v>6</v>
      </c>
      <c r="E6" s="12">
        <v>2.63</v>
      </c>
      <c r="F6" s="12">
        <v>1.22</v>
      </c>
      <c r="G6" s="13">
        <v>5.22</v>
      </c>
      <c r="H6">
        <f t="shared" si="2"/>
        <v>59.053999999999988</v>
      </c>
      <c r="I6">
        <f t="shared" si="0"/>
        <v>0</v>
      </c>
      <c r="J6">
        <f t="shared" si="1"/>
        <v>0</v>
      </c>
    </row>
    <row r="7" spans="1:15" x14ac:dyDescent="0.25">
      <c r="A7" s="6">
        <v>44566</v>
      </c>
      <c r="B7" s="7">
        <v>0.32083333333333336</v>
      </c>
      <c r="C7" s="7">
        <v>0.65327546296296302</v>
      </c>
      <c r="D7" s="8">
        <v>2</v>
      </c>
      <c r="E7" s="8">
        <v>7.99</v>
      </c>
      <c r="F7" s="8">
        <v>5.68</v>
      </c>
      <c r="G7" s="9">
        <v>4.22</v>
      </c>
      <c r="H7">
        <f t="shared" si="2"/>
        <v>59.377999999999986</v>
      </c>
      <c r="I7">
        <f t="shared" si="0"/>
        <v>0</v>
      </c>
      <c r="J7">
        <f t="shared" si="1"/>
        <v>0</v>
      </c>
    </row>
    <row r="8" spans="1:15" x14ac:dyDescent="0.25">
      <c r="A8" s="10">
        <v>44567</v>
      </c>
      <c r="B8" s="11">
        <v>0.32057870370370373</v>
      </c>
      <c r="C8" s="11">
        <v>0.65414351851851849</v>
      </c>
      <c r="D8" s="12">
        <v>3</v>
      </c>
      <c r="E8" s="12">
        <v>4.6500000000000004</v>
      </c>
      <c r="F8" s="12">
        <v>3.24</v>
      </c>
      <c r="G8" s="13">
        <v>2.57</v>
      </c>
      <c r="H8">
        <f t="shared" si="2"/>
        <v>59.399999999999984</v>
      </c>
      <c r="I8">
        <f t="shared" si="0"/>
        <v>0</v>
      </c>
      <c r="J8">
        <f t="shared" si="1"/>
        <v>0</v>
      </c>
    </row>
    <row r="9" spans="1:15" x14ac:dyDescent="0.25">
      <c r="A9" s="6">
        <v>44568</v>
      </c>
      <c r="B9" s="7">
        <v>0.32027777777777777</v>
      </c>
      <c r="C9" s="7">
        <v>0.65504629629629629</v>
      </c>
      <c r="D9" s="8">
        <v>1</v>
      </c>
      <c r="E9" s="8">
        <v>7.91</v>
      </c>
      <c r="F9" s="8">
        <v>2.34</v>
      </c>
      <c r="G9" s="9">
        <v>2.2200000000000002</v>
      </c>
      <c r="H9">
        <f t="shared" si="2"/>
        <v>59.051999999999985</v>
      </c>
      <c r="I9">
        <f t="shared" si="0"/>
        <v>0</v>
      </c>
      <c r="J9">
        <f t="shared" si="1"/>
        <v>0</v>
      </c>
    </row>
    <row r="10" spans="1:15" x14ac:dyDescent="0.25">
      <c r="A10" s="10">
        <v>44569</v>
      </c>
      <c r="B10" s="11">
        <v>0.31994212962962965</v>
      </c>
      <c r="C10" s="11">
        <v>0.65597222222222218</v>
      </c>
      <c r="D10" s="12">
        <v>1</v>
      </c>
      <c r="E10" s="12">
        <v>7.24</v>
      </c>
      <c r="F10" s="12">
        <v>2.58</v>
      </c>
      <c r="G10" s="13">
        <v>2.4700000000000002</v>
      </c>
      <c r="H10">
        <f t="shared" si="2"/>
        <v>58.645999999999987</v>
      </c>
      <c r="I10">
        <f t="shared" si="0"/>
        <v>0</v>
      </c>
      <c r="J10">
        <f t="shared" si="1"/>
        <v>0</v>
      </c>
    </row>
    <row r="11" spans="1:15" x14ac:dyDescent="0.25">
      <c r="A11" s="6">
        <v>44570</v>
      </c>
      <c r="B11" s="7">
        <v>0.31957175925925924</v>
      </c>
      <c r="C11" s="7">
        <v>0.6569328703703704</v>
      </c>
      <c r="D11" s="8">
        <v>1</v>
      </c>
      <c r="E11" s="8">
        <v>7.96</v>
      </c>
      <c r="F11" s="8">
        <v>2.74</v>
      </c>
      <c r="G11" s="9">
        <v>1.95</v>
      </c>
      <c r="H11">
        <f t="shared" si="2"/>
        <v>58.887999999999984</v>
      </c>
      <c r="I11">
        <f t="shared" si="0"/>
        <v>0</v>
      </c>
      <c r="J11">
        <f t="shared" si="1"/>
        <v>0</v>
      </c>
    </row>
    <row r="12" spans="1:15" x14ac:dyDescent="0.25">
      <c r="A12" s="10">
        <v>44571</v>
      </c>
      <c r="B12" s="11">
        <v>0.31915509259259262</v>
      </c>
      <c r="C12" s="11">
        <v>0.65790509259259256</v>
      </c>
      <c r="D12" s="12">
        <v>3</v>
      </c>
      <c r="E12" s="12">
        <v>2.37</v>
      </c>
      <c r="F12" s="12">
        <v>0.96</v>
      </c>
      <c r="G12" s="13">
        <v>2.3199999999999998</v>
      </c>
      <c r="H12">
        <f t="shared" si="2"/>
        <v>57.335999999999984</v>
      </c>
      <c r="I12">
        <f t="shared" si="0"/>
        <v>0</v>
      </c>
      <c r="J12">
        <f t="shared" si="1"/>
        <v>0</v>
      </c>
    </row>
    <row r="13" spans="1:15" x14ac:dyDescent="0.25">
      <c r="A13" s="6">
        <v>44572</v>
      </c>
      <c r="B13" s="7">
        <v>0.31870370370370371</v>
      </c>
      <c r="C13" s="7">
        <v>0.65891203703703705</v>
      </c>
      <c r="D13" s="8">
        <v>5</v>
      </c>
      <c r="E13" s="8">
        <v>1.56</v>
      </c>
      <c r="F13" s="8">
        <v>0.45</v>
      </c>
      <c r="G13" s="9">
        <v>3.21</v>
      </c>
      <c r="H13">
        <f t="shared" si="2"/>
        <v>54.485999999999983</v>
      </c>
      <c r="I13">
        <f t="shared" si="0"/>
        <v>0</v>
      </c>
      <c r="J13">
        <f t="shared" si="1"/>
        <v>0</v>
      </c>
    </row>
    <row r="14" spans="1:15" x14ac:dyDescent="0.25">
      <c r="A14" s="10">
        <v>44573</v>
      </c>
      <c r="B14" s="11">
        <v>0.31821759259259258</v>
      </c>
      <c r="C14" s="11">
        <v>0.65993055555555558</v>
      </c>
      <c r="D14" s="12">
        <v>6</v>
      </c>
      <c r="E14" s="12">
        <v>1.27</v>
      </c>
      <c r="F14" s="12">
        <v>0.22</v>
      </c>
      <c r="G14" s="13">
        <v>3.34</v>
      </c>
      <c r="H14">
        <f t="shared" si="2"/>
        <v>51.321999999999989</v>
      </c>
      <c r="I14">
        <f t="shared" si="0"/>
        <v>0</v>
      </c>
      <c r="J14">
        <f t="shared" si="1"/>
        <v>0</v>
      </c>
    </row>
    <row r="15" spans="1:15" x14ac:dyDescent="0.25">
      <c r="A15" s="6">
        <v>44574</v>
      </c>
      <c r="B15" s="7">
        <v>0.31769675925925928</v>
      </c>
      <c r="C15" s="7">
        <v>0.66098379629629633</v>
      </c>
      <c r="D15" s="8">
        <v>0</v>
      </c>
      <c r="E15" s="8">
        <v>8.6300000000000008</v>
      </c>
      <c r="F15" s="8">
        <v>3.47</v>
      </c>
      <c r="G15" s="9">
        <v>2.2599999999999998</v>
      </c>
      <c r="H15">
        <f t="shared" si="2"/>
        <v>51.837999999999994</v>
      </c>
      <c r="I15">
        <f t="shared" si="0"/>
        <v>0</v>
      </c>
      <c r="J15">
        <f t="shared" si="1"/>
        <v>0</v>
      </c>
    </row>
    <row r="16" spans="1:15" x14ac:dyDescent="0.25">
      <c r="A16" s="10">
        <v>44575</v>
      </c>
      <c r="B16" s="11">
        <v>0.31714120370370369</v>
      </c>
      <c r="C16" s="11">
        <v>0.66204861111111113</v>
      </c>
      <c r="D16" s="12">
        <v>1</v>
      </c>
      <c r="E16" s="12">
        <v>7.36</v>
      </c>
      <c r="F16" s="12">
        <v>2.2200000000000002</v>
      </c>
      <c r="G16" s="13">
        <v>2.56</v>
      </c>
      <c r="H16">
        <f t="shared" si="2"/>
        <v>51.053999999999995</v>
      </c>
      <c r="I16">
        <f t="shared" si="0"/>
        <v>0</v>
      </c>
      <c r="J16">
        <f t="shared" si="1"/>
        <v>0</v>
      </c>
    </row>
    <row r="17" spans="1:10" x14ac:dyDescent="0.25">
      <c r="A17" s="6">
        <v>44576</v>
      </c>
      <c r="B17" s="7">
        <v>0.31655092592592593</v>
      </c>
      <c r="C17" s="7">
        <v>0.66313657407407411</v>
      </c>
      <c r="D17" s="8">
        <v>5</v>
      </c>
      <c r="E17" s="8">
        <v>2.11</v>
      </c>
      <c r="F17" s="8">
        <v>0.45</v>
      </c>
      <c r="G17" s="9">
        <v>2.21</v>
      </c>
      <c r="H17">
        <f t="shared" si="2"/>
        <v>49.203999999999994</v>
      </c>
      <c r="I17">
        <f t="shared" si="0"/>
        <v>1</v>
      </c>
      <c r="J17">
        <f t="shared" si="1"/>
        <v>0</v>
      </c>
    </row>
    <row r="18" spans="1:10" x14ac:dyDescent="0.25">
      <c r="A18" s="10">
        <v>44577</v>
      </c>
      <c r="B18" s="11">
        <v>0.31592592592592594</v>
      </c>
      <c r="C18" s="11">
        <v>0.66424768518518518</v>
      </c>
      <c r="D18" s="12">
        <v>3</v>
      </c>
      <c r="E18" s="12">
        <v>5.31</v>
      </c>
      <c r="F18" s="12">
        <v>3.45</v>
      </c>
      <c r="G18" s="13">
        <v>1.22</v>
      </c>
      <c r="H18">
        <f t="shared" si="2"/>
        <v>50.743999999999993</v>
      </c>
      <c r="I18">
        <f t="shared" si="0"/>
        <v>0</v>
      </c>
      <c r="J18">
        <f t="shared" si="1"/>
        <v>0</v>
      </c>
    </row>
    <row r="19" spans="1:10" x14ac:dyDescent="0.25">
      <c r="A19" s="6">
        <v>44578</v>
      </c>
      <c r="B19" s="7">
        <v>0.31526620370370373</v>
      </c>
      <c r="C19" s="7">
        <v>0.66537037037037039</v>
      </c>
      <c r="D19" s="8">
        <v>2</v>
      </c>
      <c r="E19" s="8">
        <v>5.93</v>
      </c>
      <c r="F19" s="8">
        <v>1.25</v>
      </c>
      <c r="G19" s="9">
        <v>3.34</v>
      </c>
      <c r="H19">
        <f t="shared" si="2"/>
        <v>48.403999999999996</v>
      </c>
      <c r="I19">
        <f t="shared" si="0"/>
        <v>1</v>
      </c>
      <c r="J19">
        <f t="shared" si="1"/>
        <v>0</v>
      </c>
    </row>
    <row r="20" spans="1:10" x14ac:dyDescent="0.25">
      <c r="A20" s="10">
        <v>44579</v>
      </c>
      <c r="B20" s="11">
        <v>0.31457175925925923</v>
      </c>
      <c r="C20" s="11">
        <v>0.66650462962962964</v>
      </c>
      <c r="D20" s="12">
        <v>6</v>
      </c>
      <c r="E20" s="12">
        <v>2.19</v>
      </c>
      <c r="F20" s="12">
        <v>0.21</v>
      </c>
      <c r="G20" s="13">
        <v>3.22</v>
      </c>
      <c r="H20">
        <f t="shared" si="2"/>
        <v>45.351999999999997</v>
      </c>
      <c r="I20">
        <f t="shared" si="0"/>
        <v>1</v>
      </c>
      <c r="J20">
        <f t="shared" si="1"/>
        <v>0</v>
      </c>
    </row>
    <row r="21" spans="1:10" x14ac:dyDescent="0.25">
      <c r="A21" s="6">
        <v>44580</v>
      </c>
      <c r="B21" s="7">
        <v>0.31384259259259262</v>
      </c>
      <c r="C21" s="7">
        <v>0.66766203703703708</v>
      </c>
      <c r="D21" s="8">
        <v>4</v>
      </c>
      <c r="E21" s="8">
        <v>3.53</v>
      </c>
      <c r="F21" s="8">
        <v>0.34</v>
      </c>
      <c r="G21" s="9">
        <v>1.25</v>
      </c>
      <c r="H21">
        <f t="shared" si="2"/>
        <v>44.373999999999995</v>
      </c>
      <c r="I21">
        <f t="shared" si="0"/>
        <v>1</v>
      </c>
      <c r="J21">
        <f t="shared" si="1"/>
        <v>0</v>
      </c>
    </row>
    <row r="22" spans="1:10" x14ac:dyDescent="0.25">
      <c r="A22" s="10">
        <v>44581</v>
      </c>
      <c r="B22" s="11">
        <v>0.31309027777777776</v>
      </c>
      <c r="C22" s="11">
        <v>0.66883101851851856</v>
      </c>
      <c r="D22" s="12">
        <v>3</v>
      </c>
      <c r="E22" s="12">
        <v>4.33</v>
      </c>
      <c r="F22" s="12">
        <v>0.99</v>
      </c>
      <c r="G22" s="13">
        <v>0.21</v>
      </c>
      <c r="H22">
        <f t="shared" si="2"/>
        <v>44.955999999999996</v>
      </c>
      <c r="I22">
        <f t="shared" si="0"/>
        <v>1</v>
      </c>
      <c r="J22">
        <f t="shared" si="1"/>
        <v>0</v>
      </c>
    </row>
    <row r="23" spans="1:10" x14ac:dyDescent="0.25">
      <c r="A23" s="6">
        <v>44582</v>
      </c>
      <c r="B23" s="7">
        <v>0.31230324074074073</v>
      </c>
      <c r="C23" s="7">
        <v>0.67002314814814812</v>
      </c>
      <c r="D23" s="8">
        <v>6</v>
      </c>
      <c r="E23" s="8">
        <v>2.33</v>
      </c>
      <c r="F23" s="8">
        <v>0.02</v>
      </c>
      <c r="G23" s="9">
        <v>2.61</v>
      </c>
      <c r="H23">
        <f t="shared" si="2"/>
        <v>42.361999999999995</v>
      </c>
      <c r="I23">
        <f t="shared" si="0"/>
        <v>1</v>
      </c>
      <c r="J23">
        <f t="shared" si="1"/>
        <v>0</v>
      </c>
    </row>
    <row r="24" spans="1:10" x14ac:dyDescent="0.25">
      <c r="A24" s="10">
        <v>44583</v>
      </c>
      <c r="B24" s="11">
        <v>0.31148148148148147</v>
      </c>
      <c r="C24" s="11">
        <v>0.67121527777777779</v>
      </c>
      <c r="D24" s="12">
        <v>6</v>
      </c>
      <c r="E24" s="12">
        <v>3.21</v>
      </c>
      <c r="F24" s="12">
        <v>0.78</v>
      </c>
      <c r="G24" s="13">
        <v>2.2200000000000002</v>
      </c>
      <c r="H24">
        <f t="shared" si="2"/>
        <v>40.765999999999998</v>
      </c>
      <c r="I24">
        <f t="shared" si="0"/>
        <v>1</v>
      </c>
      <c r="J24">
        <f t="shared" si="1"/>
        <v>0</v>
      </c>
    </row>
    <row r="25" spans="1:10" x14ac:dyDescent="0.25">
      <c r="A25" s="6">
        <v>44584</v>
      </c>
      <c r="B25" s="7">
        <v>0.31063657407407408</v>
      </c>
      <c r="C25" s="7">
        <v>0.67243055555555553</v>
      </c>
      <c r="D25" s="8">
        <v>5</v>
      </c>
      <c r="E25" s="8">
        <v>4.0199999999999996</v>
      </c>
      <c r="F25" s="8">
        <v>2.0099999999999998</v>
      </c>
      <c r="G25" s="9">
        <v>1.01</v>
      </c>
      <c r="H25">
        <f t="shared" si="2"/>
        <v>41.363999999999997</v>
      </c>
      <c r="I25">
        <f t="shared" si="0"/>
        <v>1</v>
      </c>
      <c r="J25">
        <f t="shared" si="1"/>
        <v>0</v>
      </c>
    </row>
    <row r="26" spans="1:10" x14ac:dyDescent="0.25">
      <c r="A26" s="10">
        <v>44585</v>
      </c>
      <c r="B26" s="11">
        <v>0.30975694444444446</v>
      </c>
      <c r="C26" s="11">
        <v>0.67364583333333339</v>
      </c>
      <c r="D26" s="12">
        <v>4</v>
      </c>
      <c r="E26" s="12">
        <v>4.45</v>
      </c>
      <c r="F26" s="12">
        <v>2.34</v>
      </c>
      <c r="G26" s="13">
        <v>1.95</v>
      </c>
      <c r="H26">
        <f t="shared" si="2"/>
        <v>41.285999999999994</v>
      </c>
      <c r="I26">
        <f t="shared" si="0"/>
        <v>1</v>
      </c>
      <c r="J26">
        <f t="shared" si="1"/>
        <v>0</v>
      </c>
    </row>
    <row r="27" spans="1:10" x14ac:dyDescent="0.25">
      <c r="A27" s="6">
        <v>44586</v>
      </c>
      <c r="B27" s="7">
        <v>0.30884259259259261</v>
      </c>
      <c r="C27" s="7">
        <v>0.67487268518518517</v>
      </c>
      <c r="D27" s="8">
        <v>3</v>
      </c>
      <c r="E27" s="8">
        <v>5.52</v>
      </c>
      <c r="F27" s="8">
        <v>2.21</v>
      </c>
      <c r="G27" s="9">
        <v>1.21</v>
      </c>
      <c r="H27">
        <f t="shared" si="2"/>
        <v>41.843999999999994</v>
      </c>
      <c r="I27">
        <f t="shared" si="0"/>
        <v>1</v>
      </c>
      <c r="J27">
        <f t="shared" si="1"/>
        <v>0</v>
      </c>
    </row>
    <row r="28" spans="1:10" x14ac:dyDescent="0.25">
      <c r="A28" s="10">
        <v>44587</v>
      </c>
      <c r="B28" s="11">
        <v>0.30791666666666667</v>
      </c>
      <c r="C28" s="11">
        <v>0.67612268518518515</v>
      </c>
      <c r="D28" s="12">
        <v>2</v>
      </c>
      <c r="E28" s="12">
        <v>5.1100000000000003</v>
      </c>
      <c r="F28" s="12">
        <v>2.02</v>
      </c>
      <c r="G28" s="13">
        <v>1.35</v>
      </c>
      <c r="H28">
        <f t="shared" si="2"/>
        <v>42.109999999999992</v>
      </c>
      <c r="I28">
        <f t="shared" si="0"/>
        <v>1</v>
      </c>
      <c r="J28">
        <f t="shared" si="1"/>
        <v>0</v>
      </c>
    </row>
    <row r="29" spans="1:10" x14ac:dyDescent="0.25">
      <c r="A29" s="6">
        <v>44588</v>
      </c>
      <c r="B29" s="7">
        <v>0.3069560185185185</v>
      </c>
      <c r="C29" s="7">
        <v>0.67737268518518523</v>
      </c>
      <c r="D29" s="8">
        <v>1</v>
      </c>
      <c r="E29" s="8">
        <v>4.97</v>
      </c>
      <c r="F29" s="8">
        <v>1.92</v>
      </c>
      <c r="G29" s="9">
        <v>2.0099999999999998</v>
      </c>
      <c r="H29">
        <f t="shared" si="2"/>
        <v>41.635999999999996</v>
      </c>
      <c r="I29">
        <f t="shared" si="0"/>
        <v>1</v>
      </c>
      <c r="J29">
        <f t="shared" si="1"/>
        <v>0</v>
      </c>
    </row>
    <row r="30" spans="1:10" x14ac:dyDescent="0.25">
      <c r="A30" s="10">
        <v>44589</v>
      </c>
      <c r="B30" s="11">
        <v>0.30596064814814816</v>
      </c>
      <c r="C30" s="11">
        <v>0.6786226851851852</v>
      </c>
      <c r="D30" s="12">
        <v>1</v>
      </c>
      <c r="E30" s="12">
        <v>5.67</v>
      </c>
      <c r="F30" s="12">
        <v>3.21</v>
      </c>
      <c r="G30" s="13">
        <v>1.01</v>
      </c>
      <c r="H30">
        <f t="shared" si="2"/>
        <v>43.193999999999996</v>
      </c>
      <c r="I30">
        <f t="shared" si="0"/>
        <v>1</v>
      </c>
      <c r="J30">
        <f t="shared" si="1"/>
        <v>0</v>
      </c>
    </row>
    <row r="31" spans="1:10" x14ac:dyDescent="0.25">
      <c r="A31" s="6">
        <v>44590</v>
      </c>
      <c r="B31" s="7">
        <v>0.30494212962962963</v>
      </c>
      <c r="C31" s="7">
        <v>0.67988425925925922</v>
      </c>
      <c r="D31" s="8">
        <v>1</v>
      </c>
      <c r="E31" s="8">
        <v>5.76</v>
      </c>
      <c r="F31" s="8">
        <v>3.33</v>
      </c>
      <c r="G31" s="9">
        <v>2.0099999999999998</v>
      </c>
      <c r="H31">
        <f t="shared" si="2"/>
        <v>43.847999999999999</v>
      </c>
      <c r="I31">
        <f t="shared" si="0"/>
        <v>1</v>
      </c>
      <c r="J31">
        <f t="shared" si="1"/>
        <v>0</v>
      </c>
    </row>
    <row r="32" spans="1:10" x14ac:dyDescent="0.25">
      <c r="A32" s="10">
        <v>44591</v>
      </c>
      <c r="B32" s="11">
        <v>0.30391203703703706</v>
      </c>
      <c r="C32" s="11">
        <v>0.68115740740740738</v>
      </c>
      <c r="D32" s="12">
        <v>2</v>
      </c>
      <c r="E32" s="12">
        <v>5.97</v>
      </c>
      <c r="F32" s="12">
        <v>3.48</v>
      </c>
      <c r="G32" s="13">
        <v>1.93</v>
      </c>
      <c r="H32">
        <f t="shared" si="2"/>
        <v>44.701999999999998</v>
      </c>
      <c r="I32">
        <f t="shared" si="0"/>
        <v>1</v>
      </c>
      <c r="J32">
        <f t="shared" si="1"/>
        <v>0</v>
      </c>
    </row>
    <row r="33" spans="1:10" x14ac:dyDescent="0.25">
      <c r="A33" s="6">
        <v>44592</v>
      </c>
      <c r="B33" s="7">
        <v>0.30284722222222221</v>
      </c>
      <c r="C33" s="7">
        <v>0.68243055555555554</v>
      </c>
      <c r="D33" s="8">
        <v>1</v>
      </c>
      <c r="E33" s="8">
        <v>6.01</v>
      </c>
      <c r="F33" s="8">
        <v>2.34</v>
      </c>
      <c r="G33" s="9">
        <v>0.94</v>
      </c>
      <c r="H33">
        <f t="shared" si="2"/>
        <v>45.634</v>
      </c>
      <c r="I33">
        <f t="shared" si="0"/>
        <v>1</v>
      </c>
      <c r="J33">
        <f t="shared" si="1"/>
        <v>0</v>
      </c>
    </row>
    <row r="34" spans="1:10" x14ac:dyDescent="0.25">
      <c r="A34" s="10">
        <v>44593</v>
      </c>
      <c r="B34" s="11">
        <v>0.30175925925925928</v>
      </c>
      <c r="C34" s="11">
        <v>0.68371527777777774</v>
      </c>
      <c r="D34" s="12">
        <v>1</v>
      </c>
      <c r="E34" s="12">
        <v>6.18</v>
      </c>
      <c r="F34" s="12">
        <v>1.34</v>
      </c>
      <c r="G34" s="13">
        <v>1.28</v>
      </c>
      <c r="H34">
        <f t="shared" si="2"/>
        <v>45.426000000000002</v>
      </c>
      <c r="I34">
        <f t="shared" si="0"/>
        <v>1</v>
      </c>
      <c r="J34">
        <f t="shared" si="1"/>
        <v>0</v>
      </c>
    </row>
    <row r="35" spans="1:10" x14ac:dyDescent="0.25">
      <c r="A35" s="6">
        <v>44594</v>
      </c>
      <c r="B35" s="7">
        <v>0.30064814814814816</v>
      </c>
      <c r="C35" s="7">
        <v>0.68500000000000005</v>
      </c>
      <c r="D35" s="8">
        <v>1</v>
      </c>
      <c r="E35" s="8">
        <v>7.25</v>
      </c>
      <c r="F35" s="8">
        <v>1.57</v>
      </c>
      <c r="G35" s="9">
        <v>1.01</v>
      </c>
      <c r="H35">
        <f t="shared" si="2"/>
        <v>45.672000000000004</v>
      </c>
      <c r="I35">
        <f t="shared" si="0"/>
        <v>1</v>
      </c>
      <c r="J35">
        <f t="shared" si="1"/>
        <v>0</v>
      </c>
    </row>
    <row r="36" spans="1:10" x14ac:dyDescent="0.25">
      <c r="A36" s="10">
        <v>44595</v>
      </c>
      <c r="B36" s="11">
        <v>0.29951388888888891</v>
      </c>
      <c r="C36" s="11">
        <v>0.68629629629629629</v>
      </c>
      <c r="D36" s="12">
        <v>4</v>
      </c>
      <c r="E36" s="12">
        <v>3.63</v>
      </c>
      <c r="F36" s="12">
        <v>1.21</v>
      </c>
      <c r="G36" s="13">
        <v>2.25</v>
      </c>
      <c r="H36">
        <f t="shared" si="2"/>
        <v>44.39</v>
      </c>
      <c r="I36">
        <f t="shared" si="0"/>
        <v>1</v>
      </c>
      <c r="J36">
        <f t="shared" si="1"/>
        <v>0</v>
      </c>
    </row>
    <row r="37" spans="1:10" x14ac:dyDescent="0.25">
      <c r="A37" s="6">
        <v>44596</v>
      </c>
      <c r="B37" s="7">
        <v>0.29835648148148147</v>
      </c>
      <c r="C37" s="7">
        <v>0.68758101851851849</v>
      </c>
      <c r="D37" s="8">
        <v>1</v>
      </c>
      <c r="E37" s="8">
        <v>7.8</v>
      </c>
      <c r="F37" s="8">
        <v>3.34</v>
      </c>
      <c r="G37" s="9">
        <v>2.94</v>
      </c>
      <c r="H37">
        <f t="shared" si="2"/>
        <v>44.122</v>
      </c>
      <c r="I37">
        <f t="shared" si="0"/>
        <v>1</v>
      </c>
      <c r="J37">
        <f t="shared" si="1"/>
        <v>0</v>
      </c>
    </row>
    <row r="38" spans="1:10" x14ac:dyDescent="0.25">
      <c r="A38" s="10">
        <v>44597</v>
      </c>
      <c r="B38" s="11">
        <v>0.2971759259259259</v>
      </c>
      <c r="C38" s="11">
        <v>0.68887731481481485</v>
      </c>
      <c r="D38" s="12">
        <v>2</v>
      </c>
      <c r="E38" s="12">
        <v>5.0199999999999996</v>
      </c>
      <c r="F38" s="12">
        <v>2.13</v>
      </c>
      <c r="G38" s="13">
        <v>3.1</v>
      </c>
      <c r="H38">
        <f t="shared" si="2"/>
        <v>42.725999999999999</v>
      </c>
      <c r="I38">
        <f t="shared" si="0"/>
        <v>1</v>
      </c>
      <c r="J38">
        <f t="shared" si="1"/>
        <v>0</v>
      </c>
    </row>
    <row r="39" spans="1:10" x14ac:dyDescent="0.25">
      <c r="A39" s="6">
        <v>44598</v>
      </c>
      <c r="B39" s="7">
        <v>0.29597222222222225</v>
      </c>
      <c r="C39" s="7">
        <v>0.69017361111111108</v>
      </c>
      <c r="D39" s="8">
        <v>1</v>
      </c>
      <c r="E39" s="8">
        <v>6.87</v>
      </c>
      <c r="F39" s="8">
        <v>2.89</v>
      </c>
      <c r="G39" s="9">
        <v>3.34</v>
      </c>
      <c r="H39">
        <f t="shared" si="2"/>
        <v>41.697999999999993</v>
      </c>
      <c r="I39">
        <f t="shared" si="0"/>
        <v>1</v>
      </c>
      <c r="J39">
        <f t="shared" si="1"/>
        <v>0</v>
      </c>
    </row>
    <row r="40" spans="1:10" x14ac:dyDescent="0.25">
      <c r="A40" s="10">
        <v>44599</v>
      </c>
      <c r="B40" s="11">
        <v>0.29475694444444445</v>
      </c>
      <c r="C40" s="11">
        <v>0.69148148148148147</v>
      </c>
      <c r="D40" s="12">
        <v>1</v>
      </c>
      <c r="E40" s="12">
        <v>7.59</v>
      </c>
      <c r="F40" s="12">
        <v>2.56</v>
      </c>
      <c r="G40" s="13">
        <v>2.78</v>
      </c>
      <c r="H40">
        <f t="shared" si="2"/>
        <v>40.965999999999994</v>
      </c>
      <c r="I40">
        <f t="shared" si="0"/>
        <v>1</v>
      </c>
      <c r="J40">
        <f t="shared" si="1"/>
        <v>0</v>
      </c>
    </row>
    <row r="41" spans="1:10" x14ac:dyDescent="0.25">
      <c r="A41" s="6">
        <v>44600</v>
      </c>
      <c r="B41" s="7">
        <v>0.29351851851851851</v>
      </c>
      <c r="C41" s="7">
        <v>0.69277777777777783</v>
      </c>
      <c r="D41" s="8">
        <v>1</v>
      </c>
      <c r="E41" s="8">
        <v>7.84</v>
      </c>
      <c r="F41" s="8">
        <v>2.63</v>
      </c>
      <c r="G41" s="9">
        <v>2.19</v>
      </c>
      <c r="H41">
        <f t="shared" si="2"/>
        <v>40.879999999999995</v>
      </c>
      <c r="I41">
        <f t="shared" si="0"/>
        <v>1</v>
      </c>
      <c r="J41">
        <f t="shared" si="1"/>
        <v>0</v>
      </c>
    </row>
    <row r="42" spans="1:10" x14ac:dyDescent="0.25">
      <c r="A42" s="10">
        <v>44601</v>
      </c>
      <c r="B42" s="11">
        <v>0.29226851851851854</v>
      </c>
      <c r="C42" s="11">
        <v>0.6940856481481481</v>
      </c>
      <c r="D42" s="12">
        <v>6</v>
      </c>
      <c r="E42" s="12">
        <v>2.93</v>
      </c>
      <c r="F42" s="12">
        <v>1.1299999999999999</v>
      </c>
      <c r="G42" s="13">
        <v>3.1</v>
      </c>
      <c r="H42">
        <f t="shared" si="2"/>
        <v>38.68399999999999</v>
      </c>
      <c r="I42">
        <f t="shared" si="0"/>
        <v>1</v>
      </c>
      <c r="J42">
        <f t="shared" si="1"/>
        <v>0</v>
      </c>
    </row>
    <row r="43" spans="1:10" x14ac:dyDescent="0.25">
      <c r="A43" s="6">
        <v>44602</v>
      </c>
      <c r="B43" s="7">
        <v>0.29098379629629628</v>
      </c>
      <c r="C43" s="7">
        <v>0.69538194444444446</v>
      </c>
      <c r="D43" s="8">
        <v>7</v>
      </c>
      <c r="E43" s="8">
        <v>1.24</v>
      </c>
      <c r="F43" s="8">
        <v>0.3</v>
      </c>
      <c r="G43" s="9">
        <v>2.14</v>
      </c>
      <c r="H43">
        <f t="shared" si="2"/>
        <v>36.783999999999992</v>
      </c>
      <c r="I43">
        <f t="shared" si="0"/>
        <v>1</v>
      </c>
      <c r="J43">
        <f t="shared" si="1"/>
        <v>0</v>
      </c>
    </row>
    <row r="44" spans="1:10" x14ac:dyDescent="0.25">
      <c r="A44" s="10">
        <v>44603</v>
      </c>
      <c r="B44" s="11">
        <v>0.28969907407407408</v>
      </c>
      <c r="C44" s="11">
        <v>0.69668981481481485</v>
      </c>
      <c r="D44" s="12">
        <v>8</v>
      </c>
      <c r="E44" s="12">
        <v>0.26</v>
      </c>
      <c r="F44" s="12">
        <v>0</v>
      </c>
      <c r="G44" s="13">
        <v>4.8600000000000003</v>
      </c>
      <c r="H44">
        <f t="shared" si="2"/>
        <v>31.923999999999992</v>
      </c>
      <c r="I44">
        <f t="shared" si="0"/>
        <v>1</v>
      </c>
      <c r="J44">
        <f t="shared" si="1"/>
        <v>0</v>
      </c>
    </row>
    <row r="45" spans="1:10" x14ac:dyDescent="0.25">
      <c r="A45" s="6">
        <v>44604</v>
      </c>
      <c r="B45" s="7">
        <v>0.28837962962962965</v>
      </c>
      <c r="C45" s="7">
        <v>0.69798611111111108</v>
      </c>
      <c r="D45" s="8">
        <v>2</v>
      </c>
      <c r="E45" s="8">
        <v>5.79</v>
      </c>
      <c r="F45" s="8">
        <v>1.7</v>
      </c>
      <c r="G45" s="9">
        <v>0.8</v>
      </c>
      <c r="H45">
        <f t="shared" si="2"/>
        <v>32.483999999999995</v>
      </c>
      <c r="I45">
        <f t="shared" si="0"/>
        <v>1</v>
      </c>
      <c r="J45">
        <f t="shared" si="1"/>
        <v>0</v>
      </c>
    </row>
    <row r="46" spans="1:10" x14ac:dyDescent="0.25">
      <c r="A46" s="10">
        <v>44605</v>
      </c>
      <c r="B46" s="11">
        <v>0.28706018518518517</v>
      </c>
      <c r="C46" s="11">
        <v>0.69928240740740744</v>
      </c>
      <c r="D46" s="12">
        <v>3</v>
      </c>
      <c r="E46" s="12">
        <v>5.26</v>
      </c>
      <c r="F46" s="12">
        <v>1.42</v>
      </c>
      <c r="G46" s="13">
        <v>2.34</v>
      </c>
      <c r="H46">
        <f t="shared" si="2"/>
        <v>31.279999999999998</v>
      </c>
      <c r="I46">
        <f t="shared" si="0"/>
        <v>1</v>
      </c>
      <c r="J46">
        <f t="shared" si="1"/>
        <v>0</v>
      </c>
    </row>
    <row r="47" spans="1:10" x14ac:dyDescent="0.25">
      <c r="A47" s="6">
        <v>44606</v>
      </c>
      <c r="B47" s="7">
        <v>0.28570601851851851</v>
      </c>
      <c r="C47" s="7">
        <v>0.70059027777777783</v>
      </c>
      <c r="D47" s="8">
        <v>2</v>
      </c>
      <c r="E47" s="8">
        <v>5.62</v>
      </c>
      <c r="F47" s="8">
        <v>2.41</v>
      </c>
      <c r="G47" s="9">
        <v>2.59</v>
      </c>
      <c r="H47">
        <f t="shared" si="2"/>
        <v>30.617999999999999</v>
      </c>
      <c r="I47">
        <f t="shared" si="0"/>
        <v>1</v>
      </c>
      <c r="J47">
        <f t="shared" si="1"/>
        <v>0</v>
      </c>
    </row>
    <row r="48" spans="1:10" x14ac:dyDescent="0.25">
      <c r="A48" s="10">
        <v>44607</v>
      </c>
      <c r="B48" s="11">
        <v>0.28435185185185186</v>
      </c>
      <c r="C48" s="11">
        <v>0.70188657407407407</v>
      </c>
      <c r="D48" s="12">
        <v>4</v>
      </c>
      <c r="E48" s="12">
        <v>3.58</v>
      </c>
      <c r="F48" s="12">
        <v>1.63</v>
      </c>
      <c r="G48" s="13">
        <v>3.21</v>
      </c>
      <c r="H48">
        <f t="shared" si="2"/>
        <v>28.711999999999996</v>
      </c>
      <c r="I48">
        <f t="shared" si="0"/>
        <v>1</v>
      </c>
      <c r="J48">
        <f t="shared" si="1"/>
        <v>0</v>
      </c>
    </row>
    <row r="49" spans="1:10" x14ac:dyDescent="0.25">
      <c r="A49" s="6">
        <v>44608</v>
      </c>
      <c r="B49" s="7">
        <v>0.28297453703703701</v>
      </c>
      <c r="C49" s="7">
        <v>0.70318287037037042</v>
      </c>
      <c r="D49" s="8">
        <v>7</v>
      </c>
      <c r="E49" s="8">
        <v>1.1599999999999999</v>
      </c>
      <c r="F49" s="8">
        <v>0.25</v>
      </c>
      <c r="G49" s="9">
        <v>2.1</v>
      </c>
      <c r="H49">
        <f t="shared" si="2"/>
        <v>26.811999999999994</v>
      </c>
      <c r="I49">
        <f t="shared" si="0"/>
        <v>1</v>
      </c>
      <c r="J49">
        <f t="shared" si="1"/>
        <v>0</v>
      </c>
    </row>
    <row r="50" spans="1:10" x14ac:dyDescent="0.25">
      <c r="A50" s="10">
        <v>44609</v>
      </c>
      <c r="B50" s="11">
        <v>0.28158564814814813</v>
      </c>
      <c r="C50" s="11">
        <v>0.70447916666666666</v>
      </c>
      <c r="D50" s="12">
        <v>1</v>
      </c>
      <c r="E50" s="12">
        <v>8.59</v>
      </c>
      <c r="F50" s="12">
        <v>3.68</v>
      </c>
      <c r="G50" s="13">
        <v>2.36</v>
      </c>
      <c r="H50">
        <f t="shared" si="2"/>
        <v>27.395999999999994</v>
      </c>
      <c r="I50">
        <f t="shared" si="0"/>
        <v>1</v>
      </c>
      <c r="J50">
        <f t="shared" si="1"/>
        <v>0</v>
      </c>
    </row>
    <row r="51" spans="1:10" x14ac:dyDescent="0.25">
      <c r="A51" s="6">
        <v>44610</v>
      </c>
      <c r="B51" s="7">
        <v>0.2801851851851852</v>
      </c>
      <c r="C51" s="7">
        <v>0.70576388888888886</v>
      </c>
      <c r="D51" s="8">
        <v>3</v>
      </c>
      <c r="E51" s="8">
        <v>4.24</v>
      </c>
      <c r="F51" s="8">
        <v>1.27</v>
      </c>
      <c r="G51" s="9">
        <v>3.09</v>
      </c>
      <c r="H51">
        <f t="shared" si="2"/>
        <v>25.321999999999992</v>
      </c>
      <c r="I51">
        <f t="shared" si="0"/>
        <v>1</v>
      </c>
      <c r="J51">
        <f t="shared" si="1"/>
        <v>0</v>
      </c>
    </row>
    <row r="52" spans="1:10" x14ac:dyDescent="0.25">
      <c r="A52" s="10">
        <v>44611</v>
      </c>
      <c r="B52" s="11">
        <v>0.27877314814814813</v>
      </c>
      <c r="C52" s="11">
        <v>0.70706018518518521</v>
      </c>
      <c r="D52" s="12">
        <v>6</v>
      </c>
      <c r="E52" s="12">
        <v>2.1800000000000002</v>
      </c>
      <c r="F52" s="12">
        <v>0.9</v>
      </c>
      <c r="G52" s="13">
        <v>3.17</v>
      </c>
      <c r="H52">
        <f t="shared" si="2"/>
        <v>22.871999999999993</v>
      </c>
      <c r="I52">
        <f t="shared" si="0"/>
        <v>1</v>
      </c>
      <c r="J52">
        <f t="shared" si="1"/>
        <v>0</v>
      </c>
    </row>
    <row r="53" spans="1:10" x14ac:dyDescent="0.25">
      <c r="A53" s="6">
        <v>44612</v>
      </c>
      <c r="B53" s="7">
        <v>0.27733796296296298</v>
      </c>
      <c r="C53" s="7">
        <v>0.70834490740740741</v>
      </c>
      <c r="D53" s="8">
        <v>0</v>
      </c>
      <c r="E53" s="8">
        <v>9.14</v>
      </c>
      <c r="F53" s="8">
        <v>2.74</v>
      </c>
      <c r="G53" s="9">
        <v>1.96</v>
      </c>
      <c r="H53">
        <f t="shared" si="2"/>
        <v>23.103999999999992</v>
      </c>
      <c r="I53">
        <f t="shared" si="0"/>
        <v>1</v>
      </c>
      <c r="J53">
        <f t="shared" si="1"/>
        <v>0</v>
      </c>
    </row>
    <row r="54" spans="1:10" x14ac:dyDescent="0.25">
      <c r="A54" s="10">
        <v>44613</v>
      </c>
      <c r="B54" s="11">
        <v>0.27590277777777777</v>
      </c>
      <c r="C54" s="11">
        <v>0.70962962962962961</v>
      </c>
      <c r="D54" s="12">
        <v>0</v>
      </c>
      <c r="E54" s="12">
        <v>9.85</v>
      </c>
      <c r="F54" s="12">
        <v>3.02</v>
      </c>
      <c r="G54" s="13">
        <v>2.46</v>
      </c>
      <c r="H54">
        <f t="shared" si="2"/>
        <v>23.059999999999992</v>
      </c>
      <c r="I54">
        <f t="shared" si="0"/>
        <v>1</v>
      </c>
      <c r="J54">
        <f t="shared" si="1"/>
        <v>0</v>
      </c>
    </row>
    <row r="55" spans="1:10" x14ac:dyDescent="0.25">
      <c r="A55" s="6">
        <v>44614</v>
      </c>
      <c r="B55" s="7">
        <v>0.27444444444444444</v>
      </c>
      <c r="C55" s="7">
        <v>0.71091435185185181</v>
      </c>
      <c r="D55" s="8">
        <v>1</v>
      </c>
      <c r="E55" s="8">
        <v>9.2899999999999991</v>
      </c>
      <c r="F55" s="8">
        <v>2.79</v>
      </c>
      <c r="G55" s="9">
        <v>1.49</v>
      </c>
      <c r="H55">
        <f t="shared" si="2"/>
        <v>23.801999999999992</v>
      </c>
      <c r="I55">
        <f t="shared" si="0"/>
        <v>1</v>
      </c>
      <c r="J55">
        <f t="shared" si="1"/>
        <v>0</v>
      </c>
    </row>
    <row r="56" spans="1:10" x14ac:dyDescent="0.25">
      <c r="A56" s="10">
        <v>44615</v>
      </c>
      <c r="B56" s="11">
        <v>0.27297453703703706</v>
      </c>
      <c r="C56" s="11">
        <v>0.71219907407407412</v>
      </c>
      <c r="D56" s="12">
        <v>4</v>
      </c>
      <c r="E56" s="12">
        <v>2.57</v>
      </c>
      <c r="F56" s="12">
        <v>0.76</v>
      </c>
      <c r="G56" s="13">
        <v>4.03</v>
      </c>
      <c r="H56">
        <f t="shared" si="2"/>
        <v>20.379999999999992</v>
      </c>
      <c r="I56">
        <f t="shared" si="0"/>
        <v>1</v>
      </c>
      <c r="J56">
        <f t="shared" si="1"/>
        <v>0</v>
      </c>
    </row>
    <row r="57" spans="1:10" x14ac:dyDescent="0.25">
      <c r="A57" s="6">
        <v>44616</v>
      </c>
      <c r="B57" s="7">
        <v>0.27150462962962962</v>
      </c>
      <c r="C57" s="7">
        <v>0.71347222222222217</v>
      </c>
      <c r="D57" s="8">
        <v>0</v>
      </c>
      <c r="E57" s="8">
        <v>9.64</v>
      </c>
      <c r="F57" s="8">
        <v>3.82</v>
      </c>
      <c r="G57" s="9">
        <v>2.36</v>
      </c>
      <c r="H57">
        <f t="shared" si="2"/>
        <v>21.075999999999993</v>
      </c>
      <c r="I57">
        <f t="shared" si="0"/>
        <v>1</v>
      </c>
      <c r="J57">
        <f t="shared" si="1"/>
        <v>0</v>
      </c>
    </row>
    <row r="58" spans="1:10" x14ac:dyDescent="0.25">
      <c r="A58" s="10">
        <v>44617</v>
      </c>
      <c r="B58" s="11">
        <v>0.27001157407407406</v>
      </c>
      <c r="C58" s="11">
        <v>0.71474537037037034</v>
      </c>
      <c r="D58" s="12">
        <v>0</v>
      </c>
      <c r="E58" s="12">
        <v>9.35</v>
      </c>
      <c r="F58" s="12">
        <v>3.73</v>
      </c>
      <c r="G58" s="13">
        <v>2.1800000000000002</v>
      </c>
      <c r="H58">
        <f t="shared" si="2"/>
        <v>21.879999999999995</v>
      </c>
      <c r="I58">
        <f t="shared" si="0"/>
        <v>1</v>
      </c>
      <c r="J58">
        <f t="shared" si="1"/>
        <v>0</v>
      </c>
    </row>
    <row r="59" spans="1:10" x14ac:dyDescent="0.25">
      <c r="A59" s="6">
        <v>44618</v>
      </c>
      <c r="B59" s="7">
        <v>0.26851851851851855</v>
      </c>
      <c r="C59" s="7">
        <v>0.7160185185185185</v>
      </c>
      <c r="D59" s="8">
        <v>0</v>
      </c>
      <c r="E59" s="8">
        <v>8.76</v>
      </c>
      <c r="F59" s="8">
        <v>3.92</v>
      </c>
      <c r="G59" s="9">
        <v>2.4</v>
      </c>
      <c r="H59">
        <f t="shared" si="2"/>
        <v>22.615999999999996</v>
      </c>
      <c r="I59">
        <f t="shared" si="0"/>
        <v>1</v>
      </c>
      <c r="J59">
        <f t="shared" si="1"/>
        <v>0</v>
      </c>
    </row>
    <row r="60" spans="1:10" x14ac:dyDescent="0.25">
      <c r="A60" s="10">
        <v>44619</v>
      </c>
      <c r="B60" s="11">
        <v>0.26700231481481479</v>
      </c>
      <c r="C60" s="11">
        <v>0.71728009259259262</v>
      </c>
      <c r="D60" s="12">
        <v>0</v>
      </c>
      <c r="E60" s="12">
        <v>9.77</v>
      </c>
      <c r="F60" s="12">
        <v>3.26</v>
      </c>
      <c r="G60" s="13">
        <v>1.3</v>
      </c>
      <c r="H60">
        <f t="shared" si="2"/>
        <v>23.923999999999996</v>
      </c>
      <c r="I60">
        <f t="shared" si="0"/>
        <v>1</v>
      </c>
      <c r="J60">
        <f t="shared" si="1"/>
        <v>0</v>
      </c>
    </row>
    <row r="61" spans="1:10" x14ac:dyDescent="0.25">
      <c r="A61" s="6">
        <v>44620</v>
      </c>
      <c r="B61" s="7">
        <v>0.26548611111111109</v>
      </c>
      <c r="C61" s="7">
        <v>0.71855324074074078</v>
      </c>
      <c r="D61" s="8">
        <v>5</v>
      </c>
      <c r="E61" s="8">
        <v>2.93</v>
      </c>
      <c r="F61" s="8">
        <v>1.03</v>
      </c>
      <c r="G61" s="9">
        <v>2.99</v>
      </c>
      <c r="H61">
        <f t="shared" si="2"/>
        <v>21.757999999999996</v>
      </c>
      <c r="I61">
        <f t="shared" si="0"/>
        <v>1</v>
      </c>
      <c r="J61">
        <f t="shared" si="1"/>
        <v>0</v>
      </c>
    </row>
    <row r="62" spans="1:10" x14ac:dyDescent="0.25">
      <c r="A62" s="10">
        <v>44621</v>
      </c>
      <c r="B62" s="11">
        <v>0.26396990740740739</v>
      </c>
      <c r="C62" s="11">
        <v>0.7198148148148148</v>
      </c>
      <c r="D62" s="12">
        <v>2</v>
      </c>
      <c r="E62" s="12">
        <v>4.66</v>
      </c>
      <c r="F62" s="12">
        <v>1.37</v>
      </c>
      <c r="G62" s="13">
        <v>2.0499999999999998</v>
      </c>
      <c r="H62">
        <f t="shared" si="2"/>
        <v>20.803999999999995</v>
      </c>
      <c r="I62">
        <f t="shared" si="0"/>
        <v>1</v>
      </c>
      <c r="J62">
        <f t="shared" si="1"/>
        <v>0</v>
      </c>
    </row>
    <row r="63" spans="1:10" x14ac:dyDescent="0.25">
      <c r="A63" s="6">
        <v>44622</v>
      </c>
      <c r="B63" s="7">
        <v>0.26243055555555556</v>
      </c>
      <c r="C63" s="7">
        <v>0.72106481481481477</v>
      </c>
      <c r="D63" s="8">
        <v>6</v>
      </c>
      <c r="E63" s="8">
        <v>2.99</v>
      </c>
      <c r="F63" s="8">
        <v>0.74</v>
      </c>
      <c r="G63" s="9">
        <v>1.48</v>
      </c>
      <c r="H63">
        <f t="shared" si="2"/>
        <v>19.915999999999993</v>
      </c>
      <c r="I63">
        <f t="shared" si="0"/>
        <v>1</v>
      </c>
      <c r="J63">
        <f t="shared" si="1"/>
        <v>0</v>
      </c>
    </row>
    <row r="64" spans="1:10" x14ac:dyDescent="0.25">
      <c r="A64" s="10">
        <v>44623</v>
      </c>
      <c r="B64" s="11">
        <v>0.26089120370370372</v>
      </c>
      <c r="C64" s="11">
        <v>0.72232638888888889</v>
      </c>
      <c r="D64" s="12">
        <v>7</v>
      </c>
      <c r="E64" s="12">
        <v>1.1399999999999999</v>
      </c>
      <c r="F64" s="12">
        <v>0.22</v>
      </c>
      <c r="G64" s="13">
        <v>3.27</v>
      </c>
      <c r="H64">
        <f t="shared" si="2"/>
        <v>16.821999999999992</v>
      </c>
      <c r="I64">
        <f t="shared" si="0"/>
        <v>1</v>
      </c>
      <c r="J64">
        <f t="shared" si="1"/>
        <v>0</v>
      </c>
    </row>
    <row r="65" spans="1:10" x14ac:dyDescent="0.25">
      <c r="A65" s="6">
        <v>44624</v>
      </c>
      <c r="B65" s="7">
        <v>0.25934027777777779</v>
      </c>
      <c r="C65" s="7">
        <v>0.72357638888888887</v>
      </c>
      <c r="D65" s="8">
        <v>0</v>
      </c>
      <c r="E65" s="8">
        <v>9.7100000000000009</v>
      </c>
      <c r="F65" s="8">
        <v>3.95</v>
      </c>
      <c r="G65" s="9">
        <v>1.96</v>
      </c>
      <c r="H65">
        <f t="shared" si="2"/>
        <v>18.021999999999991</v>
      </c>
      <c r="I65">
        <f t="shared" si="0"/>
        <v>1</v>
      </c>
      <c r="J65">
        <f t="shared" si="1"/>
        <v>0</v>
      </c>
    </row>
    <row r="66" spans="1:10" x14ac:dyDescent="0.25">
      <c r="A66" s="10">
        <v>44625</v>
      </c>
      <c r="B66" s="11">
        <v>0.25777777777777777</v>
      </c>
      <c r="C66" s="11">
        <v>0.72482638888888884</v>
      </c>
      <c r="D66" s="12">
        <v>0</v>
      </c>
      <c r="E66" s="12">
        <v>9.92</v>
      </c>
      <c r="F66" s="12">
        <v>3.01</v>
      </c>
      <c r="G66" s="13">
        <v>1.52</v>
      </c>
      <c r="H66">
        <f t="shared" si="2"/>
        <v>18.909999999999993</v>
      </c>
      <c r="I66">
        <f t="shared" si="0"/>
        <v>1</v>
      </c>
      <c r="J66">
        <f t="shared" si="1"/>
        <v>0</v>
      </c>
    </row>
    <row r="67" spans="1:10" x14ac:dyDescent="0.25">
      <c r="A67" s="6">
        <v>44626</v>
      </c>
      <c r="B67" s="7">
        <v>0.25621527777777775</v>
      </c>
      <c r="C67" s="7">
        <v>0.72607638888888892</v>
      </c>
      <c r="D67" s="8">
        <v>1</v>
      </c>
      <c r="E67" s="8">
        <v>9.66</v>
      </c>
      <c r="F67" s="8">
        <v>2.79</v>
      </c>
      <c r="G67" s="9">
        <v>1.24</v>
      </c>
      <c r="H67">
        <f t="shared" si="2"/>
        <v>19.901999999999994</v>
      </c>
      <c r="I67">
        <f t="shared" ref="I67:I130" si="3">IF(H67&lt;50,1,0)</f>
        <v>1</v>
      </c>
      <c r="J67">
        <f t="shared" ref="J67:J130" si="4">IF(H67&lt;0,1,0)</f>
        <v>0</v>
      </c>
    </row>
    <row r="68" spans="1:10" x14ac:dyDescent="0.25">
      <c r="A68" s="10">
        <v>44627</v>
      </c>
      <c r="B68" s="11">
        <v>0.25464120370370369</v>
      </c>
      <c r="C68" s="11">
        <v>0.72731481481481486</v>
      </c>
      <c r="D68" s="12">
        <v>4</v>
      </c>
      <c r="E68" s="12">
        <v>3.6</v>
      </c>
      <c r="F68" s="12">
        <v>1.68</v>
      </c>
      <c r="G68" s="13">
        <v>2.75</v>
      </c>
      <c r="H68">
        <f t="shared" ref="H68:H131" si="5">H67+(F68*0.8)-G68</f>
        <v>18.495999999999995</v>
      </c>
      <c r="I68">
        <f t="shared" si="3"/>
        <v>1</v>
      </c>
      <c r="J68">
        <f t="shared" si="4"/>
        <v>0</v>
      </c>
    </row>
    <row r="69" spans="1:10" x14ac:dyDescent="0.25">
      <c r="A69" s="6">
        <v>44628</v>
      </c>
      <c r="B69" s="7">
        <v>0.25306712962962963</v>
      </c>
      <c r="C69" s="7">
        <v>0.72855324074074079</v>
      </c>
      <c r="D69" s="8">
        <v>2</v>
      </c>
      <c r="E69" s="8">
        <v>4.9000000000000004</v>
      </c>
      <c r="F69" s="8">
        <v>2.5299999999999998</v>
      </c>
      <c r="G69" s="9">
        <v>2.46</v>
      </c>
      <c r="H69">
        <f t="shared" si="5"/>
        <v>18.059999999999995</v>
      </c>
      <c r="I69">
        <f t="shared" si="3"/>
        <v>1</v>
      </c>
      <c r="J69">
        <f t="shared" si="4"/>
        <v>0</v>
      </c>
    </row>
    <row r="70" spans="1:10" x14ac:dyDescent="0.25">
      <c r="A70" s="10">
        <v>44629</v>
      </c>
      <c r="B70" s="11">
        <v>0.25148148148148147</v>
      </c>
      <c r="C70" s="11">
        <v>0.72979166666666662</v>
      </c>
      <c r="D70" s="12">
        <v>3</v>
      </c>
      <c r="E70" s="12">
        <v>3.29</v>
      </c>
      <c r="F70" s="12">
        <v>0.73</v>
      </c>
      <c r="G70" s="13">
        <v>2.4300000000000002</v>
      </c>
      <c r="H70">
        <f t="shared" si="5"/>
        <v>16.213999999999995</v>
      </c>
      <c r="I70">
        <f t="shared" si="3"/>
        <v>1</v>
      </c>
      <c r="J70">
        <f t="shared" si="4"/>
        <v>0</v>
      </c>
    </row>
    <row r="71" spans="1:10" x14ac:dyDescent="0.25">
      <c r="A71" s="6">
        <v>44630</v>
      </c>
      <c r="B71" s="7">
        <v>0.24989583333333334</v>
      </c>
      <c r="C71" s="7">
        <v>0.73103009259259255</v>
      </c>
      <c r="D71" s="8">
        <v>1</v>
      </c>
      <c r="E71" s="8">
        <v>7.92</v>
      </c>
      <c r="F71" s="8">
        <v>1.58</v>
      </c>
      <c r="G71" s="9">
        <v>1.63</v>
      </c>
      <c r="H71">
        <f t="shared" si="5"/>
        <v>15.847999999999995</v>
      </c>
      <c r="I71">
        <f t="shared" si="3"/>
        <v>1</v>
      </c>
      <c r="J71">
        <f t="shared" si="4"/>
        <v>0</v>
      </c>
    </row>
    <row r="72" spans="1:10" x14ac:dyDescent="0.25">
      <c r="A72" s="10">
        <v>44631</v>
      </c>
      <c r="B72" s="11">
        <v>0.24831018518518519</v>
      </c>
      <c r="C72" s="11">
        <v>0.73225694444444445</v>
      </c>
      <c r="D72" s="12">
        <v>4</v>
      </c>
      <c r="E72" s="12">
        <v>2.99</v>
      </c>
      <c r="F72" s="12">
        <v>1.05</v>
      </c>
      <c r="G72" s="13">
        <v>2.89</v>
      </c>
      <c r="H72">
        <f t="shared" si="5"/>
        <v>13.797999999999995</v>
      </c>
      <c r="I72">
        <f t="shared" si="3"/>
        <v>1</v>
      </c>
      <c r="J72">
        <f t="shared" si="4"/>
        <v>0</v>
      </c>
    </row>
    <row r="73" spans="1:10" x14ac:dyDescent="0.25">
      <c r="A73" s="6">
        <v>44632</v>
      </c>
      <c r="B73" s="7">
        <v>0.2467013888888889</v>
      </c>
      <c r="C73" s="7">
        <v>0.73348379629629634</v>
      </c>
      <c r="D73" s="8">
        <v>0</v>
      </c>
      <c r="E73" s="8">
        <v>11.09</v>
      </c>
      <c r="F73" s="8">
        <v>3.46</v>
      </c>
      <c r="G73" s="9">
        <v>1.28</v>
      </c>
      <c r="H73">
        <f t="shared" si="5"/>
        <v>15.285999999999996</v>
      </c>
      <c r="I73">
        <f t="shared" si="3"/>
        <v>1</v>
      </c>
      <c r="J73">
        <f t="shared" si="4"/>
        <v>0</v>
      </c>
    </row>
    <row r="74" spans="1:10" x14ac:dyDescent="0.25">
      <c r="A74" s="10">
        <v>44633</v>
      </c>
      <c r="B74" s="11">
        <v>0.24510416666666668</v>
      </c>
      <c r="C74" s="11">
        <v>0.73471064814814813</v>
      </c>
      <c r="D74" s="12">
        <v>0</v>
      </c>
      <c r="E74" s="12">
        <v>12.5</v>
      </c>
      <c r="F74" s="12">
        <v>3.14</v>
      </c>
      <c r="G74" s="13">
        <v>1.24</v>
      </c>
      <c r="H74">
        <f t="shared" si="5"/>
        <v>16.557999999999996</v>
      </c>
      <c r="I74">
        <f t="shared" si="3"/>
        <v>1</v>
      </c>
      <c r="J74">
        <f t="shared" si="4"/>
        <v>0</v>
      </c>
    </row>
    <row r="75" spans="1:10" x14ac:dyDescent="0.25">
      <c r="A75" s="6">
        <v>44634</v>
      </c>
      <c r="B75" s="7">
        <v>0.24349537037037036</v>
      </c>
      <c r="C75" s="7">
        <v>0.73593750000000002</v>
      </c>
      <c r="D75" s="8">
        <v>2</v>
      </c>
      <c r="E75" s="8">
        <v>5.32</v>
      </c>
      <c r="F75" s="8">
        <v>2.64</v>
      </c>
      <c r="G75" s="9">
        <v>3.06</v>
      </c>
      <c r="H75">
        <f t="shared" si="5"/>
        <v>15.609999999999994</v>
      </c>
      <c r="I75">
        <f t="shared" si="3"/>
        <v>1</v>
      </c>
      <c r="J75">
        <f t="shared" si="4"/>
        <v>0</v>
      </c>
    </row>
    <row r="76" spans="1:10" x14ac:dyDescent="0.25">
      <c r="A76" s="10">
        <v>44635</v>
      </c>
      <c r="B76" s="11">
        <v>0.24188657407407407</v>
      </c>
      <c r="C76" s="11">
        <v>0.73716435185185181</v>
      </c>
      <c r="D76" s="12">
        <v>6</v>
      </c>
      <c r="E76" s="12">
        <v>3.14</v>
      </c>
      <c r="F76" s="12">
        <v>1.73</v>
      </c>
      <c r="G76" s="13">
        <v>3.82</v>
      </c>
      <c r="H76">
        <f t="shared" si="5"/>
        <v>13.173999999999992</v>
      </c>
      <c r="I76">
        <f t="shared" si="3"/>
        <v>1</v>
      </c>
      <c r="J76">
        <f t="shared" si="4"/>
        <v>0</v>
      </c>
    </row>
    <row r="77" spans="1:10" x14ac:dyDescent="0.25">
      <c r="A77" s="6">
        <v>44636</v>
      </c>
      <c r="B77" s="7">
        <v>0.24027777777777778</v>
      </c>
      <c r="C77" s="7">
        <v>0.73837962962962966</v>
      </c>
      <c r="D77" s="8">
        <v>0</v>
      </c>
      <c r="E77" s="8">
        <v>12.41</v>
      </c>
      <c r="F77" s="8">
        <v>3.85</v>
      </c>
      <c r="G77" s="9">
        <v>0.67</v>
      </c>
      <c r="H77">
        <f t="shared" si="5"/>
        <v>15.583999999999991</v>
      </c>
      <c r="I77">
        <f t="shared" si="3"/>
        <v>1</v>
      </c>
      <c r="J77">
        <f t="shared" si="4"/>
        <v>0</v>
      </c>
    </row>
    <row r="78" spans="1:10" x14ac:dyDescent="0.25">
      <c r="A78" s="10">
        <v>44637</v>
      </c>
      <c r="B78" s="11">
        <v>0.23866898148148147</v>
      </c>
      <c r="C78" s="11">
        <v>0.73959490740740741</v>
      </c>
      <c r="D78" s="12">
        <v>4</v>
      </c>
      <c r="E78" s="12">
        <v>3.11</v>
      </c>
      <c r="F78" s="12">
        <v>2.14</v>
      </c>
      <c r="G78" s="13">
        <v>4.2</v>
      </c>
      <c r="H78">
        <f t="shared" si="5"/>
        <v>13.095999999999993</v>
      </c>
      <c r="I78">
        <f t="shared" si="3"/>
        <v>1</v>
      </c>
      <c r="J78">
        <f t="shared" si="4"/>
        <v>0</v>
      </c>
    </row>
    <row r="79" spans="1:10" x14ac:dyDescent="0.25">
      <c r="A79" s="6">
        <v>44638</v>
      </c>
      <c r="B79" s="7">
        <v>0.23704861111111111</v>
      </c>
      <c r="C79" s="7">
        <v>0.74081018518518515</v>
      </c>
      <c r="D79" s="8">
        <v>0</v>
      </c>
      <c r="E79" s="8">
        <v>11.14</v>
      </c>
      <c r="F79" s="8">
        <v>3.57</v>
      </c>
      <c r="G79" s="9">
        <v>1.4</v>
      </c>
      <c r="H79">
        <f t="shared" si="5"/>
        <v>14.551999999999992</v>
      </c>
      <c r="I79">
        <f t="shared" si="3"/>
        <v>1</v>
      </c>
      <c r="J79">
        <f t="shared" si="4"/>
        <v>0</v>
      </c>
    </row>
    <row r="80" spans="1:10" x14ac:dyDescent="0.25">
      <c r="A80" s="10">
        <v>44639</v>
      </c>
      <c r="B80" s="11">
        <v>0.23542824074074073</v>
      </c>
      <c r="C80" s="11">
        <v>0.74202546296296301</v>
      </c>
      <c r="D80" s="12">
        <v>0</v>
      </c>
      <c r="E80" s="12">
        <v>14.64</v>
      </c>
      <c r="F80" s="12">
        <v>3.79</v>
      </c>
      <c r="G80" s="13">
        <v>0.42</v>
      </c>
      <c r="H80">
        <f t="shared" si="5"/>
        <v>17.163999999999991</v>
      </c>
      <c r="I80">
        <f t="shared" si="3"/>
        <v>1</v>
      </c>
      <c r="J80">
        <f t="shared" si="4"/>
        <v>0</v>
      </c>
    </row>
    <row r="81" spans="1:10" x14ac:dyDescent="0.25">
      <c r="A81" s="6">
        <v>44640</v>
      </c>
      <c r="B81" s="7">
        <v>0.23380787037037037</v>
      </c>
      <c r="C81" s="7">
        <v>0.74324074074074076</v>
      </c>
      <c r="D81" s="8">
        <v>0</v>
      </c>
      <c r="E81" s="8">
        <v>12.39</v>
      </c>
      <c r="F81" s="8">
        <v>3.87</v>
      </c>
      <c r="G81" s="9">
        <v>1.02</v>
      </c>
      <c r="H81">
        <f t="shared" si="5"/>
        <v>19.239999999999991</v>
      </c>
      <c r="I81">
        <f t="shared" si="3"/>
        <v>1</v>
      </c>
      <c r="J81">
        <f t="shared" si="4"/>
        <v>0</v>
      </c>
    </row>
    <row r="82" spans="1:10" x14ac:dyDescent="0.25">
      <c r="A82" s="10">
        <v>44641</v>
      </c>
      <c r="B82" s="11">
        <v>0.23218749999999999</v>
      </c>
      <c r="C82" s="11">
        <v>0.74444444444444446</v>
      </c>
      <c r="D82" s="12">
        <v>3</v>
      </c>
      <c r="E82" s="12">
        <v>3.56</v>
      </c>
      <c r="F82" s="12">
        <v>1.4</v>
      </c>
      <c r="G82" s="13">
        <v>3.29</v>
      </c>
      <c r="H82">
        <f t="shared" si="5"/>
        <v>17.069999999999993</v>
      </c>
      <c r="I82">
        <f t="shared" si="3"/>
        <v>1</v>
      </c>
      <c r="J82">
        <f t="shared" si="4"/>
        <v>0</v>
      </c>
    </row>
    <row r="83" spans="1:10" x14ac:dyDescent="0.25">
      <c r="A83" s="6">
        <v>44642</v>
      </c>
      <c r="B83" s="7">
        <v>0.23056712962962964</v>
      </c>
      <c r="C83" s="7">
        <v>0.74565972222222221</v>
      </c>
      <c r="D83" s="8">
        <v>5</v>
      </c>
      <c r="E83" s="8">
        <v>3.59</v>
      </c>
      <c r="F83" s="8">
        <v>2.0099999999999998</v>
      </c>
      <c r="G83" s="9">
        <v>3.66</v>
      </c>
      <c r="H83">
        <f t="shared" si="5"/>
        <v>15.017999999999994</v>
      </c>
      <c r="I83">
        <f t="shared" si="3"/>
        <v>1</v>
      </c>
      <c r="J83">
        <f t="shared" si="4"/>
        <v>0</v>
      </c>
    </row>
    <row r="84" spans="1:10" x14ac:dyDescent="0.25">
      <c r="A84" s="10">
        <v>44643</v>
      </c>
      <c r="B84" s="11">
        <v>0.22893518518518519</v>
      </c>
      <c r="C84" s="11">
        <v>0.74686342592592592</v>
      </c>
      <c r="D84" s="12">
        <v>0</v>
      </c>
      <c r="E84" s="12">
        <v>12.04</v>
      </c>
      <c r="F84" s="12">
        <v>3.72</v>
      </c>
      <c r="G84" s="13">
        <v>1.59</v>
      </c>
      <c r="H84">
        <f t="shared" si="5"/>
        <v>16.403999999999993</v>
      </c>
      <c r="I84">
        <f t="shared" si="3"/>
        <v>1</v>
      </c>
      <c r="J84">
        <f t="shared" si="4"/>
        <v>0</v>
      </c>
    </row>
    <row r="85" spans="1:10" x14ac:dyDescent="0.25">
      <c r="A85" s="6">
        <v>44644</v>
      </c>
      <c r="B85" s="7">
        <v>0.2273148148148148</v>
      </c>
      <c r="C85" s="7">
        <v>0.74806712962962962</v>
      </c>
      <c r="D85" s="8">
        <v>0</v>
      </c>
      <c r="E85" s="8">
        <v>12.54</v>
      </c>
      <c r="F85" s="8">
        <v>3.69</v>
      </c>
      <c r="G85" s="9">
        <v>1.05</v>
      </c>
      <c r="H85">
        <f t="shared" si="5"/>
        <v>18.305999999999994</v>
      </c>
      <c r="I85">
        <f t="shared" si="3"/>
        <v>1</v>
      </c>
      <c r="J85">
        <f t="shared" si="4"/>
        <v>0</v>
      </c>
    </row>
    <row r="86" spans="1:10" x14ac:dyDescent="0.25">
      <c r="A86" s="10">
        <v>44645</v>
      </c>
      <c r="B86" s="11">
        <v>0.22569444444444445</v>
      </c>
      <c r="C86" s="11">
        <v>0.74928240740740737</v>
      </c>
      <c r="D86" s="12">
        <v>3</v>
      </c>
      <c r="E86" s="12">
        <v>3.96</v>
      </c>
      <c r="F86" s="12">
        <v>2.59</v>
      </c>
      <c r="G86" s="13">
        <v>3.5</v>
      </c>
      <c r="H86">
        <f t="shared" si="5"/>
        <v>16.877999999999993</v>
      </c>
      <c r="I86">
        <f t="shared" si="3"/>
        <v>1</v>
      </c>
      <c r="J86">
        <f t="shared" si="4"/>
        <v>0</v>
      </c>
    </row>
    <row r="87" spans="1:10" x14ac:dyDescent="0.25">
      <c r="A87" s="6">
        <v>44646</v>
      </c>
      <c r="B87" s="7">
        <v>0.2240625</v>
      </c>
      <c r="C87" s="7">
        <v>0.75048611111111108</v>
      </c>
      <c r="D87" s="8">
        <v>0</v>
      </c>
      <c r="E87" s="8">
        <v>12.15</v>
      </c>
      <c r="F87" s="8">
        <v>3.61</v>
      </c>
      <c r="G87" s="9">
        <v>0.86</v>
      </c>
      <c r="H87">
        <f t="shared" si="5"/>
        <v>18.905999999999992</v>
      </c>
      <c r="I87">
        <f t="shared" si="3"/>
        <v>1</v>
      </c>
      <c r="J87">
        <f t="shared" si="4"/>
        <v>0</v>
      </c>
    </row>
    <row r="88" spans="1:10" x14ac:dyDescent="0.25">
      <c r="A88" s="10">
        <v>44647</v>
      </c>
      <c r="B88" s="11">
        <v>0.2641087962962963</v>
      </c>
      <c r="C88" s="11">
        <v>0.79335648148148152</v>
      </c>
      <c r="D88" s="12">
        <v>0</v>
      </c>
      <c r="E88" s="12">
        <v>10.83</v>
      </c>
      <c r="F88" s="12">
        <v>3.78</v>
      </c>
      <c r="G88" s="13">
        <v>2.4700000000000002</v>
      </c>
      <c r="H88">
        <f t="shared" si="5"/>
        <v>19.459999999999994</v>
      </c>
      <c r="I88">
        <f t="shared" si="3"/>
        <v>1</v>
      </c>
      <c r="J88">
        <f t="shared" si="4"/>
        <v>0</v>
      </c>
    </row>
    <row r="89" spans="1:10" x14ac:dyDescent="0.25">
      <c r="A89" s="6">
        <v>44648</v>
      </c>
      <c r="B89" s="7">
        <v>0.26248842592592592</v>
      </c>
      <c r="C89" s="7">
        <v>0.79456018518518523</v>
      </c>
      <c r="D89" s="8">
        <v>4</v>
      </c>
      <c r="E89" s="8">
        <v>4.42</v>
      </c>
      <c r="F89" s="8">
        <v>3.15</v>
      </c>
      <c r="G89" s="9">
        <v>3.62</v>
      </c>
      <c r="H89">
        <f t="shared" si="5"/>
        <v>18.359999999999992</v>
      </c>
      <c r="I89">
        <f t="shared" si="3"/>
        <v>1</v>
      </c>
      <c r="J89">
        <f t="shared" si="4"/>
        <v>0</v>
      </c>
    </row>
    <row r="90" spans="1:10" x14ac:dyDescent="0.25">
      <c r="A90" s="10">
        <v>44649</v>
      </c>
      <c r="B90" s="11">
        <v>0.26086805555555553</v>
      </c>
      <c r="C90" s="11">
        <v>0.79575231481481479</v>
      </c>
      <c r="D90" s="12">
        <v>7</v>
      </c>
      <c r="E90" s="12">
        <v>1.83</v>
      </c>
      <c r="F90" s="12">
        <v>0.6</v>
      </c>
      <c r="G90" s="13">
        <v>2.89</v>
      </c>
      <c r="H90">
        <f t="shared" si="5"/>
        <v>15.949999999999992</v>
      </c>
      <c r="I90">
        <f t="shared" si="3"/>
        <v>1</v>
      </c>
      <c r="J90">
        <f t="shared" si="4"/>
        <v>0</v>
      </c>
    </row>
    <row r="91" spans="1:10" x14ac:dyDescent="0.25">
      <c r="A91" s="6">
        <v>44650</v>
      </c>
      <c r="B91" s="7">
        <v>0.25924768518518521</v>
      </c>
      <c r="C91" s="7">
        <v>0.79695601851851849</v>
      </c>
      <c r="D91" s="8">
        <v>0</v>
      </c>
      <c r="E91" s="8">
        <v>10.86</v>
      </c>
      <c r="F91" s="8">
        <v>3.24</v>
      </c>
      <c r="G91" s="9">
        <v>1.57</v>
      </c>
      <c r="H91">
        <f t="shared" si="5"/>
        <v>16.971999999999994</v>
      </c>
      <c r="I91">
        <f t="shared" si="3"/>
        <v>1</v>
      </c>
      <c r="J91">
        <f t="shared" si="4"/>
        <v>0</v>
      </c>
    </row>
    <row r="92" spans="1:10" x14ac:dyDescent="0.25">
      <c r="A92" s="10">
        <v>44651</v>
      </c>
      <c r="B92" s="11">
        <v>0.25763888888888886</v>
      </c>
      <c r="C92" s="11">
        <v>0.7981597222222222</v>
      </c>
      <c r="D92" s="12">
        <v>0</v>
      </c>
      <c r="E92" s="12">
        <v>10.73</v>
      </c>
      <c r="F92" s="12">
        <v>3.02</v>
      </c>
      <c r="G92" s="13">
        <v>2.14</v>
      </c>
      <c r="H92">
        <f t="shared" si="5"/>
        <v>17.247999999999994</v>
      </c>
      <c r="I92">
        <f t="shared" si="3"/>
        <v>1</v>
      </c>
      <c r="J92">
        <f t="shared" si="4"/>
        <v>0</v>
      </c>
    </row>
    <row r="93" spans="1:10" x14ac:dyDescent="0.25">
      <c r="A93" s="6">
        <v>44652</v>
      </c>
      <c r="B93" s="7">
        <v>0.25601851851851853</v>
      </c>
      <c r="C93" s="7">
        <v>0.79936342592592591</v>
      </c>
      <c r="D93" s="8">
        <v>3</v>
      </c>
      <c r="E93" s="8">
        <v>5.21</v>
      </c>
      <c r="F93" s="8">
        <v>2.46</v>
      </c>
      <c r="G93" s="9">
        <v>2.89</v>
      </c>
      <c r="H93">
        <f t="shared" si="5"/>
        <v>16.325999999999993</v>
      </c>
      <c r="I93">
        <f t="shared" si="3"/>
        <v>1</v>
      </c>
      <c r="J93">
        <f t="shared" si="4"/>
        <v>0</v>
      </c>
    </row>
    <row r="94" spans="1:10" x14ac:dyDescent="0.25">
      <c r="A94" s="10">
        <v>44653</v>
      </c>
      <c r="B94" s="11">
        <v>0.25440972222222225</v>
      </c>
      <c r="C94" s="11">
        <v>0.80055555555555558</v>
      </c>
      <c r="D94" s="12">
        <v>0</v>
      </c>
      <c r="E94" s="12">
        <v>11.83</v>
      </c>
      <c r="F94" s="12">
        <v>3.14</v>
      </c>
      <c r="G94" s="13">
        <v>1.08</v>
      </c>
      <c r="H94">
        <f t="shared" si="5"/>
        <v>17.757999999999996</v>
      </c>
      <c r="I94">
        <f t="shared" si="3"/>
        <v>1</v>
      </c>
      <c r="J94">
        <f t="shared" si="4"/>
        <v>0</v>
      </c>
    </row>
    <row r="95" spans="1:10" x14ac:dyDescent="0.25">
      <c r="A95" s="6">
        <v>44654</v>
      </c>
      <c r="B95" s="7">
        <v>0.2528009259259259</v>
      </c>
      <c r="C95" s="7">
        <v>0.80175925925925928</v>
      </c>
      <c r="D95" s="8">
        <v>6</v>
      </c>
      <c r="E95" s="8">
        <v>2.3199999999999998</v>
      </c>
      <c r="F95" s="8">
        <v>1.08</v>
      </c>
      <c r="G95" s="9">
        <v>4.09</v>
      </c>
      <c r="H95">
        <f t="shared" si="5"/>
        <v>14.531999999999996</v>
      </c>
      <c r="I95">
        <f t="shared" si="3"/>
        <v>1</v>
      </c>
      <c r="J95">
        <f t="shared" si="4"/>
        <v>0</v>
      </c>
    </row>
    <row r="96" spans="1:10" x14ac:dyDescent="0.25">
      <c r="A96" s="10">
        <v>44655</v>
      </c>
      <c r="B96" s="11">
        <v>0.25120370370370371</v>
      </c>
      <c r="C96" s="11">
        <v>0.80296296296296299</v>
      </c>
      <c r="D96" s="12">
        <v>2</v>
      </c>
      <c r="E96" s="12">
        <v>6.34</v>
      </c>
      <c r="F96" s="12">
        <v>3.25</v>
      </c>
      <c r="G96" s="13">
        <v>2.0099999999999998</v>
      </c>
      <c r="H96">
        <f t="shared" si="5"/>
        <v>15.121999999999998</v>
      </c>
      <c r="I96">
        <f t="shared" si="3"/>
        <v>1</v>
      </c>
      <c r="J96">
        <f t="shared" si="4"/>
        <v>0</v>
      </c>
    </row>
    <row r="97" spans="1:10" x14ac:dyDescent="0.25">
      <c r="A97" s="6">
        <v>44656</v>
      </c>
      <c r="B97" s="7">
        <v>0.24959490740740742</v>
      </c>
      <c r="C97" s="7">
        <v>0.80415509259259255</v>
      </c>
      <c r="D97" s="8">
        <v>4</v>
      </c>
      <c r="E97" s="8">
        <v>4.87</v>
      </c>
      <c r="F97" s="8">
        <v>1.47</v>
      </c>
      <c r="G97" s="9">
        <v>1.86</v>
      </c>
      <c r="H97">
        <f t="shared" si="5"/>
        <v>14.437999999999999</v>
      </c>
      <c r="I97">
        <f t="shared" si="3"/>
        <v>1</v>
      </c>
      <c r="J97">
        <f t="shared" si="4"/>
        <v>0</v>
      </c>
    </row>
    <row r="98" spans="1:10" x14ac:dyDescent="0.25">
      <c r="A98" s="10">
        <v>44657</v>
      </c>
      <c r="B98" s="11">
        <v>0.24800925925925926</v>
      </c>
      <c r="C98" s="11">
        <v>0.80535879629629625</v>
      </c>
      <c r="D98" s="12">
        <v>4</v>
      </c>
      <c r="E98" s="12">
        <v>3.57</v>
      </c>
      <c r="F98" s="12">
        <v>0.16</v>
      </c>
      <c r="G98" s="13">
        <v>2.94</v>
      </c>
      <c r="H98">
        <f t="shared" si="5"/>
        <v>11.625999999999999</v>
      </c>
      <c r="I98">
        <f t="shared" si="3"/>
        <v>1</v>
      </c>
      <c r="J98">
        <f t="shared" si="4"/>
        <v>0</v>
      </c>
    </row>
    <row r="99" spans="1:10" x14ac:dyDescent="0.25">
      <c r="A99" s="6">
        <v>44658</v>
      </c>
      <c r="B99" s="7">
        <v>0.24641203703703704</v>
      </c>
      <c r="C99" s="7">
        <v>0.80656249999999996</v>
      </c>
      <c r="D99" s="8">
        <v>2</v>
      </c>
      <c r="E99" s="8">
        <v>6.61</v>
      </c>
      <c r="F99" s="8">
        <v>2.5099999999999998</v>
      </c>
      <c r="G99" s="9">
        <v>1.34</v>
      </c>
      <c r="H99">
        <f t="shared" si="5"/>
        <v>12.294</v>
      </c>
      <c r="I99">
        <f t="shared" si="3"/>
        <v>1</v>
      </c>
      <c r="J99">
        <f t="shared" si="4"/>
        <v>0</v>
      </c>
    </row>
    <row r="100" spans="1:10" x14ac:dyDescent="0.25">
      <c r="A100" s="10">
        <v>44659</v>
      </c>
      <c r="B100" s="11">
        <v>0.24482638888888889</v>
      </c>
      <c r="C100" s="11">
        <v>0.80775462962962963</v>
      </c>
      <c r="D100" s="12">
        <v>0</v>
      </c>
      <c r="E100" s="12">
        <v>14.15</v>
      </c>
      <c r="F100" s="12">
        <v>3.32</v>
      </c>
      <c r="G100" s="13">
        <v>1.82</v>
      </c>
      <c r="H100">
        <f t="shared" si="5"/>
        <v>13.13</v>
      </c>
      <c r="I100">
        <f t="shared" si="3"/>
        <v>1</v>
      </c>
      <c r="J100">
        <f t="shared" si="4"/>
        <v>0</v>
      </c>
    </row>
    <row r="101" spans="1:10" x14ac:dyDescent="0.25">
      <c r="A101" s="6">
        <v>44660</v>
      </c>
      <c r="B101" s="7">
        <v>0.24325231481481482</v>
      </c>
      <c r="C101" s="7">
        <v>0.80895833333333333</v>
      </c>
      <c r="D101" s="8">
        <v>0</v>
      </c>
      <c r="E101" s="8">
        <v>10.3</v>
      </c>
      <c r="F101" s="8">
        <v>3.31</v>
      </c>
      <c r="G101" s="9">
        <v>4.1500000000000004</v>
      </c>
      <c r="H101">
        <f t="shared" si="5"/>
        <v>11.628</v>
      </c>
      <c r="I101">
        <f t="shared" si="3"/>
        <v>1</v>
      </c>
      <c r="J101">
        <f t="shared" si="4"/>
        <v>0</v>
      </c>
    </row>
    <row r="102" spans="1:10" x14ac:dyDescent="0.25">
      <c r="A102" s="10">
        <v>44661</v>
      </c>
      <c r="B102" s="11">
        <v>0.24167824074074074</v>
      </c>
      <c r="C102" s="11">
        <v>0.81016203703703704</v>
      </c>
      <c r="D102" s="12">
        <v>0</v>
      </c>
      <c r="E102" s="12">
        <v>10.039999999999999</v>
      </c>
      <c r="F102" s="12">
        <v>3.85</v>
      </c>
      <c r="G102" s="13">
        <v>3.16</v>
      </c>
      <c r="H102">
        <f t="shared" si="5"/>
        <v>11.548</v>
      </c>
      <c r="I102">
        <f t="shared" si="3"/>
        <v>1</v>
      </c>
      <c r="J102">
        <f t="shared" si="4"/>
        <v>0</v>
      </c>
    </row>
    <row r="103" spans="1:10" x14ac:dyDescent="0.25">
      <c r="A103" s="6">
        <v>44662</v>
      </c>
      <c r="B103" s="7">
        <v>0.24010416666666667</v>
      </c>
      <c r="C103" s="7">
        <v>0.81135416666666671</v>
      </c>
      <c r="D103" s="8">
        <v>4</v>
      </c>
      <c r="E103" s="8">
        <v>3.82</v>
      </c>
      <c r="F103" s="8">
        <v>1.64</v>
      </c>
      <c r="G103" s="9">
        <v>3.12</v>
      </c>
      <c r="H103">
        <f t="shared" si="5"/>
        <v>9.7399999999999984</v>
      </c>
      <c r="I103">
        <f t="shared" si="3"/>
        <v>1</v>
      </c>
      <c r="J103">
        <f t="shared" si="4"/>
        <v>0</v>
      </c>
    </row>
    <row r="104" spans="1:10" x14ac:dyDescent="0.25">
      <c r="A104" s="10">
        <v>44663</v>
      </c>
      <c r="B104" s="11">
        <v>0.23854166666666668</v>
      </c>
      <c r="C104" s="11">
        <v>0.81255787037037042</v>
      </c>
      <c r="D104" s="12">
        <v>1</v>
      </c>
      <c r="E104" s="12">
        <v>7.92</v>
      </c>
      <c r="F104" s="12">
        <v>3.79</v>
      </c>
      <c r="G104" s="13">
        <v>3.05</v>
      </c>
      <c r="H104">
        <f t="shared" si="5"/>
        <v>9.7219999999999978</v>
      </c>
      <c r="I104">
        <f t="shared" si="3"/>
        <v>1</v>
      </c>
      <c r="J104">
        <f t="shared" si="4"/>
        <v>0</v>
      </c>
    </row>
    <row r="105" spans="1:10" x14ac:dyDescent="0.25">
      <c r="A105" s="6">
        <v>44664</v>
      </c>
      <c r="B105" s="7">
        <v>0.23699074074074075</v>
      </c>
      <c r="C105" s="7">
        <v>0.81376157407407412</v>
      </c>
      <c r="D105" s="8">
        <v>1</v>
      </c>
      <c r="E105" s="8">
        <v>7.5</v>
      </c>
      <c r="F105" s="8">
        <v>3.12</v>
      </c>
      <c r="G105" s="9">
        <v>2.94</v>
      </c>
      <c r="H105">
        <f t="shared" si="5"/>
        <v>9.2779999999999987</v>
      </c>
      <c r="I105">
        <f t="shared" si="3"/>
        <v>1</v>
      </c>
      <c r="J105">
        <f t="shared" si="4"/>
        <v>0</v>
      </c>
    </row>
    <row r="106" spans="1:10" x14ac:dyDescent="0.25">
      <c r="A106" s="10">
        <v>44665</v>
      </c>
      <c r="B106" s="11">
        <v>0.23543981481481482</v>
      </c>
      <c r="C106" s="11">
        <v>0.81495370370370368</v>
      </c>
      <c r="D106" s="12">
        <v>0</v>
      </c>
      <c r="E106" s="12">
        <v>12.58</v>
      </c>
      <c r="F106" s="12">
        <v>3.42</v>
      </c>
      <c r="G106" s="13">
        <v>2.0499999999999998</v>
      </c>
      <c r="H106">
        <f t="shared" si="5"/>
        <v>9.9639999999999986</v>
      </c>
      <c r="I106">
        <f t="shared" si="3"/>
        <v>1</v>
      </c>
      <c r="J106">
        <f t="shared" si="4"/>
        <v>0</v>
      </c>
    </row>
    <row r="107" spans="1:10" x14ac:dyDescent="0.25">
      <c r="A107" s="6">
        <v>44666</v>
      </c>
      <c r="B107" s="7">
        <v>0.23390046296296296</v>
      </c>
      <c r="C107" s="7">
        <v>0.81615740740740739</v>
      </c>
      <c r="D107" s="8">
        <v>2</v>
      </c>
      <c r="E107" s="8">
        <v>7.66</v>
      </c>
      <c r="F107" s="8">
        <v>3.41</v>
      </c>
      <c r="G107" s="9">
        <v>1.68</v>
      </c>
      <c r="H107">
        <f t="shared" si="5"/>
        <v>11.011999999999999</v>
      </c>
      <c r="I107">
        <f t="shared" si="3"/>
        <v>1</v>
      </c>
      <c r="J107">
        <f t="shared" si="4"/>
        <v>0</v>
      </c>
    </row>
    <row r="108" spans="1:10" x14ac:dyDescent="0.25">
      <c r="A108" s="10">
        <v>44667</v>
      </c>
      <c r="B108" s="11">
        <v>0.2323726851851852</v>
      </c>
      <c r="C108" s="11">
        <v>0.81736111111111109</v>
      </c>
      <c r="D108" s="12">
        <v>4</v>
      </c>
      <c r="E108" s="12">
        <v>4.16</v>
      </c>
      <c r="F108" s="12">
        <v>1.58</v>
      </c>
      <c r="G108" s="13">
        <v>2.89</v>
      </c>
      <c r="H108">
        <f t="shared" si="5"/>
        <v>9.3859999999999992</v>
      </c>
      <c r="I108">
        <f t="shared" si="3"/>
        <v>1</v>
      </c>
      <c r="J108">
        <f t="shared" si="4"/>
        <v>0</v>
      </c>
    </row>
    <row r="109" spans="1:10" x14ac:dyDescent="0.25">
      <c r="A109" s="6">
        <v>44668</v>
      </c>
      <c r="B109" s="7">
        <v>0.2308449074074074</v>
      </c>
      <c r="C109" s="7">
        <v>0.8185648148148148</v>
      </c>
      <c r="D109" s="8">
        <v>6</v>
      </c>
      <c r="E109" s="8">
        <v>2.34</v>
      </c>
      <c r="F109" s="8">
        <v>1.06</v>
      </c>
      <c r="G109" s="9">
        <v>2.46</v>
      </c>
      <c r="H109">
        <f t="shared" si="5"/>
        <v>7.774</v>
      </c>
      <c r="I109">
        <f t="shared" si="3"/>
        <v>1</v>
      </c>
      <c r="J109">
        <f t="shared" si="4"/>
        <v>0</v>
      </c>
    </row>
    <row r="110" spans="1:10" x14ac:dyDescent="0.25">
      <c r="A110" s="10">
        <v>44669</v>
      </c>
      <c r="B110" s="11">
        <v>0.22934027777777777</v>
      </c>
      <c r="C110" s="11">
        <v>0.81975694444444447</v>
      </c>
      <c r="D110" s="12">
        <v>6</v>
      </c>
      <c r="E110" s="12">
        <v>2.42</v>
      </c>
      <c r="F110" s="12">
        <v>1.24</v>
      </c>
      <c r="G110" s="13">
        <v>2.97</v>
      </c>
      <c r="H110">
        <f t="shared" si="5"/>
        <v>5.7959999999999994</v>
      </c>
      <c r="I110">
        <f t="shared" si="3"/>
        <v>1</v>
      </c>
      <c r="J110">
        <f t="shared" si="4"/>
        <v>0</v>
      </c>
    </row>
    <row r="111" spans="1:10" x14ac:dyDescent="0.25">
      <c r="A111" s="6">
        <v>44670</v>
      </c>
      <c r="B111" s="7">
        <v>0.22783564814814813</v>
      </c>
      <c r="C111" s="7">
        <v>0.82096064814814818</v>
      </c>
      <c r="D111" s="8">
        <v>4</v>
      </c>
      <c r="E111" s="8">
        <v>3.78</v>
      </c>
      <c r="F111" s="8">
        <v>2.0699999999999998</v>
      </c>
      <c r="G111" s="9">
        <v>2.93</v>
      </c>
      <c r="H111">
        <f t="shared" si="5"/>
        <v>4.5219999999999985</v>
      </c>
      <c r="I111">
        <f t="shared" si="3"/>
        <v>1</v>
      </c>
      <c r="J111">
        <f t="shared" si="4"/>
        <v>0</v>
      </c>
    </row>
    <row r="112" spans="1:10" x14ac:dyDescent="0.25">
      <c r="A112" s="10">
        <v>44671</v>
      </c>
      <c r="B112" s="11">
        <v>0.2263425925925926</v>
      </c>
      <c r="C112" s="11">
        <v>0.82215277777777773</v>
      </c>
      <c r="D112" s="12">
        <v>1</v>
      </c>
      <c r="E112" s="12">
        <v>7.54</v>
      </c>
      <c r="F112" s="12">
        <v>2.57</v>
      </c>
      <c r="G112" s="13">
        <v>2.06</v>
      </c>
      <c r="H112">
        <f t="shared" si="5"/>
        <v>4.5179999999999989</v>
      </c>
      <c r="I112">
        <f t="shared" si="3"/>
        <v>1</v>
      </c>
      <c r="J112">
        <f t="shared" si="4"/>
        <v>0</v>
      </c>
    </row>
    <row r="113" spans="1:10" x14ac:dyDescent="0.25">
      <c r="A113" s="6">
        <v>44672</v>
      </c>
      <c r="B113" s="7">
        <v>0.22486111111111112</v>
      </c>
      <c r="C113" s="7">
        <v>0.82335648148148144</v>
      </c>
      <c r="D113" s="8">
        <v>0</v>
      </c>
      <c r="E113" s="8">
        <v>13.18</v>
      </c>
      <c r="F113" s="8">
        <v>3.56</v>
      </c>
      <c r="G113" s="9">
        <v>2.02</v>
      </c>
      <c r="H113">
        <f t="shared" si="5"/>
        <v>5.3460000000000001</v>
      </c>
      <c r="I113">
        <f t="shared" si="3"/>
        <v>1</v>
      </c>
      <c r="J113">
        <f t="shared" si="4"/>
        <v>0</v>
      </c>
    </row>
    <row r="114" spans="1:10" x14ac:dyDescent="0.25">
      <c r="A114" s="10">
        <v>44673</v>
      </c>
      <c r="B114" s="11">
        <v>0.22337962962962962</v>
      </c>
      <c r="C114" s="11">
        <v>0.82456018518518515</v>
      </c>
      <c r="D114" s="12">
        <v>5</v>
      </c>
      <c r="E114" s="12">
        <v>2.54</v>
      </c>
      <c r="F114" s="12">
        <v>0.68</v>
      </c>
      <c r="G114" s="13">
        <v>3.58</v>
      </c>
      <c r="H114">
        <f t="shared" si="5"/>
        <v>2.3100000000000005</v>
      </c>
      <c r="I114">
        <f t="shared" si="3"/>
        <v>1</v>
      </c>
      <c r="J114">
        <f t="shared" si="4"/>
        <v>0</v>
      </c>
    </row>
    <row r="115" spans="1:10" x14ac:dyDescent="0.25">
      <c r="A115" s="6">
        <v>44674</v>
      </c>
      <c r="B115" s="7">
        <v>0.22192129629629628</v>
      </c>
      <c r="C115" s="7">
        <v>0.82575231481481481</v>
      </c>
      <c r="D115" s="8">
        <v>0</v>
      </c>
      <c r="E115" s="8">
        <v>10.62</v>
      </c>
      <c r="F115" s="8">
        <v>3.13</v>
      </c>
      <c r="G115" s="9">
        <v>2.0699999999999998</v>
      </c>
      <c r="H115">
        <f t="shared" si="5"/>
        <v>2.7440000000000002</v>
      </c>
      <c r="I115">
        <f t="shared" si="3"/>
        <v>1</v>
      </c>
      <c r="J115">
        <f t="shared" si="4"/>
        <v>0</v>
      </c>
    </row>
    <row r="116" spans="1:10" x14ac:dyDescent="0.25">
      <c r="A116" s="10">
        <v>44675</v>
      </c>
      <c r="B116" s="11">
        <v>0.22047453703703704</v>
      </c>
      <c r="C116" s="11">
        <v>0.82694444444444448</v>
      </c>
      <c r="D116" s="12">
        <v>0</v>
      </c>
      <c r="E116" s="12">
        <v>13.23</v>
      </c>
      <c r="F116" s="12">
        <v>3.2</v>
      </c>
      <c r="G116" s="13">
        <v>0.56000000000000005</v>
      </c>
      <c r="H116">
        <f t="shared" si="5"/>
        <v>4.7439999999999998</v>
      </c>
      <c r="I116">
        <f t="shared" si="3"/>
        <v>1</v>
      </c>
      <c r="J116">
        <f t="shared" si="4"/>
        <v>0</v>
      </c>
    </row>
    <row r="117" spans="1:10" x14ac:dyDescent="0.25">
      <c r="A117" s="6">
        <v>44676</v>
      </c>
      <c r="B117" s="7">
        <v>0.21903935185185186</v>
      </c>
      <c r="C117" s="7">
        <v>0.82814814814814819</v>
      </c>
      <c r="D117" s="8">
        <v>6</v>
      </c>
      <c r="E117" s="8">
        <v>3.09</v>
      </c>
      <c r="F117" s="8">
        <v>1.32</v>
      </c>
      <c r="G117" s="9">
        <v>3.52</v>
      </c>
      <c r="H117">
        <f t="shared" si="5"/>
        <v>2.2799999999999998</v>
      </c>
      <c r="I117">
        <f t="shared" si="3"/>
        <v>1</v>
      </c>
      <c r="J117">
        <f t="shared" si="4"/>
        <v>0</v>
      </c>
    </row>
    <row r="118" spans="1:10" x14ac:dyDescent="0.25">
      <c r="A118" s="10">
        <v>44677</v>
      </c>
      <c r="B118" s="11">
        <v>0.21761574074074075</v>
      </c>
      <c r="C118" s="11">
        <v>0.82934027777777775</v>
      </c>
      <c r="D118" s="12">
        <v>2</v>
      </c>
      <c r="E118" s="12">
        <v>5.84</v>
      </c>
      <c r="F118" s="12">
        <v>2.5099999999999998</v>
      </c>
      <c r="G118" s="13">
        <v>1.33</v>
      </c>
      <c r="H118">
        <f t="shared" si="5"/>
        <v>2.9580000000000002</v>
      </c>
      <c r="I118">
        <f t="shared" si="3"/>
        <v>1</v>
      </c>
      <c r="J118">
        <f t="shared" si="4"/>
        <v>0</v>
      </c>
    </row>
    <row r="119" spans="1:10" x14ac:dyDescent="0.25">
      <c r="A119" s="6">
        <v>44678</v>
      </c>
      <c r="B119" s="7">
        <v>0.2162037037037037</v>
      </c>
      <c r="C119" s="7">
        <v>0.83053240740740741</v>
      </c>
      <c r="D119" s="8">
        <v>2</v>
      </c>
      <c r="E119" s="8">
        <v>6.08</v>
      </c>
      <c r="F119" s="8">
        <v>2.34</v>
      </c>
      <c r="G119" s="9">
        <v>1.65</v>
      </c>
      <c r="H119">
        <f t="shared" si="5"/>
        <v>3.18</v>
      </c>
      <c r="I119">
        <f t="shared" si="3"/>
        <v>1</v>
      </c>
      <c r="J119">
        <f t="shared" si="4"/>
        <v>0</v>
      </c>
    </row>
    <row r="120" spans="1:10" x14ac:dyDescent="0.25">
      <c r="A120" s="10">
        <v>44679</v>
      </c>
      <c r="B120" s="11">
        <v>0.21480324074074075</v>
      </c>
      <c r="C120" s="11">
        <v>0.83171296296296293</v>
      </c>
      <c r="D120" s="12">
        <v>6</v>
      </c>
      <c r="E120" s="12">
        <v>3.61</v>
      </c>
      <c r="F120" s="12">
        <v>1.32</v>
      </c>
      <c r="G120" s="13">
        <v>2.14</v>
      </c>
      <c r="H120">
        <f t="shared" si="5"/>
        <v>2.0960000000000005</v>
      </c>
      <c r="I120">
        <f t="shared" si="3"/>
        <v>1</v>
      </c>
      <c r="J120">
        <f t="shared" si="4"/>
        <v>0</v>
      </c>
    </row>
    <row r="121" spans="1:10" x14ac:dyDescent="0.25">
      <c r="A121" s="6">
        <v>44680</v>
      </c>
      <c r="B121" s="7">
        <v>0.21342592592592594</v>
      </c>
      <c r="C121" s="7">
        <v>0.8329050925925926</v>
      </c>
      <c r="D121" s="8">
        <v>1</v>
      </c>
      <c r="E121" s="8">
        <v>9.2799999999999994</v>
      </c>
      <c r="F121" s="8">
        <v>3.62</v>
      </c>
      <c r="G121" s="9">
        <v>2.17</v>
      </c>
      <c r="H121">
        <f t="shared" si="5"/>
        <v>2.822000000000001</v>
      </c>
      <c r="I121">
        <f t="shared" si="3"/>
        <v>1</v>
      </c>
      <c r="J121">
        <f t="shared" si="4"/>
        <v>0</v>
      </c>
    </row>
    <row r="122" spans="1:10" x14ac:dyDescent="0.25">
      <c r="A122" s="10">
        <v>44681</v>
      </c>
      <c r="B122" s="11">
        <v>0.21206018518518518</v>
      </c>
      <c r="C122" s="11">
        <v>0.83408564814814812</v>
      </c>
      <c r="D122" s="12">
        <v>5</v>
      </c>
      <c r="E122" s="12">
        <v>4.6900000000000004</v>
      </c>
      <c r="F122" s="12">
        <v>3.21</v>
      </c>
      <c r="G122" s="13">
        <v>2.9</v>
      </c>
      <c r="H122">
        <f t="shared" si="5"/>
        <v>2.4900000000000007</v>
      </c>
      <c r="I122">
        <f t="shared" si="3"/>
        <v>1</v>
      </c>
      <c r="J122">
        <f t="shared" si="4"/>
        <v>0</v>
      </c>
    </row>
    <row r="123" spans="1:10" x14ac:dyDescent="0.25">
      <c r="A123" s="6">
        <v>44682</v>
      </c>
      <c r="B123" s="7">
        <v>0.21070601851851853</v>
      </c>
      <c r="C123" s="7">
        <v>0.83526620370370375</v>
      </c>
      <c r="D123" s="8">
        <v>3</v>
      </c>
      <c r="E123" s="8">
        <v>4.0999999999999996</v>
      </c>
      <c r="F123" s="8">
        <v>2.16</v>
      </c>
      <c r="G123" s="9">
        <v>3.12</v>
      </c>
      <c r="H123">
        <f t="shared" si="5"/>
        <v>1.0980000000000008</v>
      </c>
      <c r="I123">
        <f t="shared" si="3"/>
        <v>1</v>
      </c>
      <c r="J123">
        <f t="shared" si="4"/>
        <v>0</v>
      </c>
    </row>
    <row r="124" spans="1:10" x14ac:dyDescent="0.25">
      <c r="A124" s="10">
        <v>44683</v>
      </c>
      <c r="B124" s="11">
        <v>0.20936342592592594</v>
      </c>
      <c r="C124" s="11">
        <v>0.83644675925925926</v>
      </c>
      <c r="D124" s="12">
        <v>0</v>
      </c>
      <c r="E124" s="12">
        <v>12.23</v>
      </c>
      <c r="F124" s="12">
        <v>3.94</v>
      </c>
      <c r="G124" s="13">
        <v>2.0099999999999998</v>
      </c>
      <c r="H124">
        <f t="shared" si="5"/>
        <v>2.2400000000000011</v>
      </c>
      <c r="I124">
        <f t="shared" si="3"/>
        <v>1</v>
      </c>
      <c r="J124">
        <f t="shared" si="4"/>
        <v>0</v>
      </c>
    </row>
    <row r="125" spans="1:10" x14ac:dyDescent="0.25">
      <c r="A125" s="6">
        <v>44684</v>
      </c>
      <c r="B125" s="7">
        <v>0.20804398148148148</v>
      </c>
      <c r="C125" s="7">
        <v>0.83762731481481478</v>
      </c>
      <c r="D125" s="8">
        <v>3</v>
      </c>
      <c r="E125" s="8">
        <v>5.28</v>
      </c>
      <c r="F125" s="8">
        <v>2.87</v>
      </c>
      <c r="G125" s="9">
        <v>2.58</v>
      </c>
      <c r="H125">
        <f t="shared" si="5"/>
        <v>1.9560000000000013</v>
      </c>
      <c r="I125">
        <f t="shared" si="3"/>
        <v>1</v>
      </c>
      <c r="J125">
        <f t="shared" si="4"/>
        <v>0</v>
      </c>
    </row>
    <row r="126" spans="1:10" x14ac:dyDescent="0.25">
      <c r="A126" s="10">
        <v>44685</v>
      </c>
      <c r="B126" s="11">
        <v>0.20673611111111112</v>
      </c>
      <c r="C126" s="11">
        <v>0.83879629629629626</v>
      </c>
      <c r="D126" s="12">
        <v>0</v>
      </c>
      <c r="E126" s="12">
        <v>13.63</v>
      </c>
      <c r="F126" s="12">
        <v>3.27</v>
      </c>
      <c r="G126" s="13">
        <v>0.93</v>
      </c>
      <c r="H126">
        <f t="shared" si="5"/>
        <v>3.6420000000000008</v>
      </c>
      <c r="I126">
        <f t="shared" si="3"/>
        <v>1</v>
      </c>
      <c r="J126">
        <f t="shared" si="4"/>
        <v>0</v>
      </c>
    </row>
    <row r="127" spans="1:10" x14ac:dyDescent="0.25">
      <c r="A127" s="6">
        <v>44686</v>
      </c>
      <c r="B127" s="7">
        <v>0.20545138888888889</v>
      </c>
      <c r="C127" s="7">
        <v>0.8399537037037037</v>
      </c>
      <c r="D127" s="8">
        <v>0</v>
      </c>
      <c r="E127" s="8">
        <v>13.36</v>
      </c>
      <c r="F127" s="8">
        <v>3.91</v>
      </c>
      <c r="G127" s="9">
        <v>1.56</v>
      </c>
      <c r="H127">
        <f t="shared" si="5"/>
        <v>5.2100000000000009</v>
      </c>
      <c r="I127">
        <f t="shared" si="3"/>
        <v>1</v>
      </c>
      <c r="J127">
        <f t="shared" si="4"/>
        <v>0</v>
      </c>
    </row>
    <row r="128" spans="1:10" x14ac:dyDescent="0.25">
      <c r="A128" s="10">
        <v>44687</v>
      </c>
      <c r="B128" s="11">
        <v>0.20418981481481482</v>
      </c>
      <c r="C128" s="11">
        <v>0.84112268518518518</v>
      </c>
      <c r="D128" s="12">
        <v>1</v>
      </c>
      <c r="E128" s="12">
        <v>8.76</v>
      </c>
      <c r="F128" s="12">
        <v>3.15</v>
      </c>
      <c r="G128" s="13">
        <v>1.42</v>
      </c>
      <c r="H128">
        <f t="shared" si="5"/>
        <v>6.3100000000000005</v>
      </c>
      <c r="I128">
        <f t="shared" si="3"/>
        <v>1</v>
      </c>
      <c r="J128">
        <f t="shared" si="4"/>
        <v>0</v>
      </c>
    </row>
    <row r="129" spans="1:10" x14ac:dyDescent="0.25">
      <c r="A129" s="6">
        <v>44688</v>
      </c>
      <c r="B129" s="7">
        <v>0.20293981481481482</v>
      </c>
      <c r="C129" s="7">
        <v>0.84226851851851847</v>
      </c>
      <c r="D129" s="8">
        <v>2</v>
      </c>
      <c r="E129" s="8">
        <v>5.66</v>
      </c>
      <c r="F129" s="8">
        <v>4.2</v>
      </c>
      <c r="G129" s="9">
        <v>2.94</v>
      </c>
      <c r="H129">
        <f t="shared" si="5"/>
        <v>6.7300000000000022</v>
      </c>
      <c r="I129">
        <f t="shared" si="3"/>
        <v>1</v>
      </c>
      <c r="J129">
        <f t="shared" si="4"/>
        <v>0</v>
      </c>
    </row>
    <row r="130" spans="1:10" x14ac:dyDescent="0.25">
      <c r="A130" s="10">
        <v>44689</v>
      </c>
      <c r="B130" s="11">
        <v>0.20170138888888889</v>
      </c>
      <c r="C130" s="11">
        <v>0.84342592592592591</v>
      </c>
      <c r="D130" s="12">
        <v>2</v>
      </c>
      <c r="E130" s="12">
        <v>6.84</v>
      </c>
      <c r="F130" s="12">
        <v>4.38</v>
      </c>
      <c r="G130" s="13">
        <v>2.0499999999999998</v>
      </c>
      <c r="H130">
        <f t="shared" si="5"/>
        <v>8.1840000000000011</v>
      </c>
      <c r="I130">
        <f t="shared" si="3"/>
        <v>1</v>
      </c>
      <c r="J130">
        <f t="shared" si="4"/>
        <v>0</v>
      </c>
    </row>
    <row r="131" spans="1:10" x14ac:dyDescent="0.25">
      <c r="A131" s="6">
        <v>44690</v>
      </c>
      <c r="B131" s="7">
        <v>0.20049768518518518</v>
      </c>
      <c r="C131" s="7">
        <v>0.84456018518518516</v>
      </c>
      <c r="D131" s="8">
        <v>7</v>
      </c>
      <c r="E131" s="8">
        <v>2.89</v>
      </c>
      <c r="F131" s="8">
        <v>0.59</v>
      </c>
      <c r="G131" s="9">
        <v>2.19</v>
      </c>
      <c r="H131">
        <f t="shared" si="5"/>
        <v>6.4660000000000011</v>
      </c>
      <c r="I131">
        <f t="shared" ref="I131:I194" si="6">IF(H131&lt;50,1,0)</f>
        <v>1</v>
      </c>
      <c r="J131">
        <f t="shared" ref="J131:J194" si="7">IF(H131&lt;0,1,0)</f>
        <v>0</v>
      </c>
    </row>
    <row r="132" spans="1:10" x14ac:dyDescent="0.25">
      <c r="A132" s="10">
        <v>44691</v>
      </c>
      <c r="B132" s="11">
        <v>0.19930555555555557</v>
      </c>
      <c r="C132" s="11">
        <v>0.84570601851851857</v>
      </c>
      <c r="D132" s="12">
        <v>3</v>
      </c>
      <c r="E132" s="12">
        <v>5.65</v>
      </c>
      <c r="F132" s="12">
        <v>3.89</v>
      </c>
      <c r="G132" s="13">
        <v>3.4</v>
      </c>
      <c r="H132">
        <f t="shared" ref="H132:H195" si="8">H131+(F132*0.8)-G132</f>
        <v>6.1780000000000008</v>
      </c>
      <c r="I132">
        <f t="shared" si="6"/>
        <v>1</v>
      </c>
      <c r="J132">
        <f t="shared" si="7"/>
        <v>0</v>
      </c>
    </row>
    <row r="133" spans="1:10" x14ac:dyDescent="0.25">
      <c r="A133" s="6">
        <v>44692</v>
      </c>
      <c r="B133" s="7">
        <v>0.19813657407407406</v>
      </c>
      <c r="C133" s="7">
        <v>0.84682870370370367</v>
      </c>
      <c r="D133" s="8">
        <v>1</v>
      </c>
      <c r="E133" s="8">
        <v>8.83</v>
      </c>
      <c r="F133" s="8">
        <v>3.04</v>
      </c>
      <c r="G133" s="9">
        <v>2.06</v>
      </c>
      <c r="H133">
        <f t="shared" si="8"/>
        <v>6.5500000000000007</v>
      </c>
      <c r="I133">
        <f t="shared" si="6"/>
        <v>1</v>
      </c>
      <c r="J133">
        <f t="shared" si="7"/>
        <v>0</v>
      </c>
    </row>
    <row r="134" spans="1:10" x14ac:dyDescent="0.25">
      <c r="A134" s="10">
        <v>44693</v>
      </c>
      <c r="B134" s="11">
        <v>0.19699074074074074</v>
      </c>
      <c r="C134" s="11">
        <v>0.84795138888888888</v>
      </c>
      <c r="D134" s="12">
        <v>0</v>
      </c>
      <c r="E134" s="12">
        <v>12.14</v>
      </c>
      <c r="F134" s="12">
        <v>5.23</v>
      </c>
      <c r="G134" s="13">
        <v>3.48</v>
      </c>
      <c r="H134">
        <f t="shared" si="8"/>
        <v>7.2540000000000013</v>
      </c>
      <c r="I134">
        <f t="shared" si="6"/>
        <v>1</v>
      </c>
      <c r="J134">
        <f t="shared" si="7"/>
        <v>0</v>
      </c>
    </row>
    <row r="135" spans="1:10" x14ac:dyDescent="0.25">
      <c r="A135" s="6">
        <v>44694</v>
      </c>
      <c r="B135" s="7">
        <v>0.19585648148148149</v>
      </c>
      <c r="C135" s="7">
        <v>0.84906250000000005</v>
      </c>
      <c r="D135" s="8">
        <v>1</v>
      </c>
      <c r="E135" s="8">
        <v>14.36</v>
      </c>
      <c r="F135" s="8">
        <v>6.3</v>
      </c>
      <c r="G135" s="9">
        <v>1.57</v>
      </c>
      <c r="H135">
        <f t="shared" si="8"/>
        <v>10.724</v>
      </c>
      <c r="I135">
        <f t="shared" si="6"/>
        <v>1</v>
      </c>
      <c r="J135">
        <f t="shared" si="7"/>
        <v>0</v>
      </c>
    </row>
    <row r="136" spans="1:10" x14ac:dyDescent="0.25">
      <c r="A136" s="10">
        <v>44695</v>
      </c>
      <c r="B136" s="11">
        <v>0.19475694444444444</v>
      </c>
      <c r="C136" s="11">
        <v>0.85016203703703708</v>
      </c>
      <c r="D136" s="12">
        <v>8</v>
      </c>
      <c r="E136" s="12">
        <v>1.1299999999999999</v>
      </c>
      <c r="F136" s="12">
        <v>0.66</v>
      </c>
      <c r="G136" s="13">
        <v>3.45</v>
      </c>
      <c r="H136">
        <f t="shared" si="8"/>
        <v>7.8020000000000005</v>
      </c>
      <c r="I136">
        <f t="shared" si="6"/>
        <v>1</v>
      </c>
      <c r="J136">
        <f t="shared" si="7"/>
        <v>0</v>
      </c>
    </row>
    <row r="137" spans="1:10" x14ac:dyDescent="0.25">
      <c r="A137" s="6">
        <v>44696</v>
      </c>
      <c r="B137" s="7">
        <v>0.19368055555555555</v>
      </c>
      <c r="C137" s="7">
        <v>0.85124999999999995</v>
      </c>
      <c r="D137" s="8">
        <v>1</v>
      </c>
      <c r="E137" s="8">
        <v>10.59</v>
      </c>
      <c r="F137" s="8">
        <v>4.34</v>
      </c>
      <c r="G137" s="9">
        <v>2.6</v>
      </c>
      <c r="H137">
        <f t="shared" si="8"/>
        <v>8.6740000000000013</v>
      </c>
      <c r="I137">
        <f t="shared" si="6"/>
        <v>1</v>
      </c>
      <c r="J137">
        <f t="shared" si="7"/>
        <v>0</v>
      </c>
    </row>
    <row r="138" spans="1:10" x14ac:dyDescent="0.25">
      <c r="A138" s="10">
        <v>44697</v>
      </c>
      <c r="B138" s="11">
        <v>0.19262731481481482</v>
      </c>
      <c r="C138" s="11">
        <v>0.8523263888888889</v>
      </c>
      <c r="D138" s="12">
        <v>0</v>
      </c>
      <c r="E138" s="12">
        <v>16.309999999999999</v>
      </c>
      <c r="F138" s="12">
        <v>5.36</v>
      </c>
      <c r="G138" s="13">
        <v>1.89</v>
      </c>
      <c r="H138">
        <f t="shared" si="8"/>
        <v>11.072000000000001</v>
      </c>
      <c r="I138">
        <f t="shared" si="6"/>
        <v>1</v>
      </c>
      <c r="J138">
        <f t="shared" si="7"/>
        <v>0</v>
      </c>
    </row>
    <row r="139" spans="1:10" x14ac:dyDescent="0.25">
      <c r="A139" s="6">
        <v>44698</v>
      </c>
      <c r="B139" s="7">
        <v>0.19158564814814816</v>
      </c>
      <c r="C139" s="7">
        <v>0.85340277777777773</v>
      </c>
      <c r="D139" s="8">
        <v>0</v>
      </c>
      <c r="E139" s="8">
        <v>14.39</v>
      </c>
      <c r="F139" s="8">
        <v>5.34</v>
      </c>
      <c r="G139" s="9">
        <v>1.1399999999999999</v>
      </c>
      <c r="H139">
        <f t="shared" si="8"/>
        <v>14.204000000000001</v>
      </c>
      <c r="I139">
        <f t="shared" si="6"/>
        <v>1</v>
      </c>
      <c r="J139">
        <f t="shared" si="7"/>
        <v>0</v>
      </c>
    </row>
    <row r="140" spans="1:10" x14ac:dyDescent="0.25">
      <c r="A140" s="10">
        <v>44699</v>
      </c>
      <c r="B140" s="11">
        <v>0.19059027777777779</v>
      </c>
      <c r="C140" s="11">
        <v>0.85445601851851849</v>
      </c>
      <c r="D140" s="12">
        <v>0</v>
      </c>
      <c r="E140" s="12">
        <v>15.29</v>
      </c>
      <c r="F140" s="12">
        <v>4.59</v>
      </c>
      <c r="G140" s="13">
        <v>1.27</v>
      </c>
      <c r="H140">
        <f t="shared" si="8"/>
        <v>16.606000000000002</v>
      </c>
      <c r="I140">
        <f t="shared" si="6"/>
        <v>1</v>
      </c>
      <c r="J140">
        <f t="shared" si="7"/>
        <v>0</v>
      </c>
    </row>
    <row r="141" spans="1:10" x14ac:dyDescent="0.25">
      <c r="A141" s="6">
        <v>44700</v>
      </c>
      <c r="B141" s="7">
        <v>0.18960648148148149</v>
      </c>
      <c r="C141" s="7">
        <v>0.85549768518518521</v>
      </c>
      <c r="D141" s="8">
        <v>5</v>
      </c>
      <c r="E141" s="8">
        <v>5.77</v>
      </c>
      <c r="F141" s="8">
        <v>2.58</v>
      </c>
      <c r="G141" s="9">
        <v>1.1599999999999999</v>
      </c>
      <c r="H141">
        <f t="shared" si="8"/>
        <v>17.510000000000002</v>
      </c>
      <c r="I141">
        <f t="shared" si="6"/>
        <v>1</v>
      </c>
      <c r="J141">
        <f t="shared" si="7"/>
        <v>0</v>
      </c>
    </row>
    <row r="142" spans="1:10" x14ac:dyDescent="0.25">
      <c r="A142" s="10">
        <v>44701</v>
      </c>
      <c r="B142" s="11">
        <v>0.18864583333333335</v>
      </c>
      <c r="C142" s="11">
        <v>0.85652777777777778</v>
      </c>
      <c r="D142" s="12">
        <v>3</v>
      </c>
      <c r="E142" s="12">
        <v>6.62</v>
      </c>
      <c r="F142" s="12">
        <v>4.3</v>
      </c>
      <c r="G142" s="13">
        <v>2.2799999999999998</v>
      </c>
      <c r="H142">
        <f t="shared" si="8"/>
        <v>18.670000000000002</v>
      </c>
      <c r="I142">
        <f t="shared" si="6"/>
        <v>1</v>
      </c>
      <c r="J142">
        <f t="shared" si="7"/>
        <v>0</v>
      </c>
    </row>
    <row r="143" spans="1:10" x14ac:dyDescent="0.25">
      <c r="A143" s="6">
        <v>44702</v>
      </c>
      <c r="B143" s="7">
        <v>0.1877199074074074</v>
      </c>
      <c r="C143" s="7">
        <v>0.85754629629629631</v>
      </c>
      <c r="D143" s="8">
        <v>2</v>
      </c>
      <c r="E143" s="8">
        <v>5.03</v>
      </c>
      <c r="F143" s="8">
        <v>2.81</v>
      </c>
      <c r="G143" s="9">
        <v>3.05</v>
      </c>
      <c r="H143">
        <f t="shared" si="8"/>
        <v>17.868000000000002</v>
      </c>
      <c r="I143">
        <f t="shared" si="6"/>
        <v>1</v>
      </c>
      <c r="J143">
        <f t="shared" si="7"/>
        <v>0</v>
      </c>
    </row>
    <row r="144" spans="1:10" x14ac:dyDescent="0.25">
      <c r="A144" s="10">
        <v>44703</v>
      </c>
      <c r="B144" s="11">
        <v>0.18682870370370369</v>
      </c>
      <c r="C144" s="11">
        <v>0.85854166666666665</v>
      </c>
      <c r="D144" s="12">
        <v>0</v>
      </c>
      <c r="E144" s="12">
        <v>14.1</v>
      </c>
      <c r="F144" s="12">
        <v>4.04</v>
      </c>
      <c r="G144" s="13">
        <v>2.86</v>
      </c>
      <c r="H144">
        <f t="shared" si="8"/>
        <v>18.240000000000002</v>
      </c>
      <c r="I144">
        <f t="shared" si="6"/>
        <v>1</v>
      </c>
      <c r="J144">
        <f t="shared" si="7"/>
        <v>0</v>
      </c>
    </row>
    <row r="145" spans="1:10" x14ac:dyDescent="0.25">
      <c r="A145" s="6">
        <v>44704</v>
      </c>
      <c r="B145" s="7">
        <v>0.18594907407407407</v>
      </c>
      <c r="C145" s="7">
        <v>0.85952546296296295</v>
      </c>
      <c r="D145" s="8">
        <v>8</v>
      </c>
      <c r="E145" s="8">
        <v>1.36</v>
      </c>
      <c r="F145" s="8">
        <v>0.57999999999999996</v>
      </c>
      <c r="G145" s="9">
        <v>4.95</v>
      </c>
      <c r="H145">
        <f t="shared" si="8"/>
        <v>13.754000000000001</v>
      </c>
      <c r="I145">
        <f t="shared" si="6"/>
        <v>1</v>
      </c>
      <c r="J145">
        <f t="shared" si="7"/>
        <v>0</v>
      </c>
    </row>
    <row r="146" spans="1:10" x14ac:dyDescent="0.25">
      <c r="A146" s="10">
        <v>44705</v>
      </c>
      <c r="B146" s="11">
        <v>0.18511574074074075</v>
      </c>
      <c r="C146" s="11">
        <v>0.86049768518518521</v>
      </c>
      <c r="D146" s="12">
        <v>8</v>
      </c>
      <c r="E146" s="12">
        <v>1.71</v>
      </c>
      <c r="F146" s="12">
        <v>0.14000000000000001</v>
      </c>
      <c r="G146" s="13">
        <v>3.51</v>
      </c>
      <c r="H146">
        <f t="shared" si="8"/>
        <v>10.356000000000002</v>
      </c>
      <c r="I146">
        <f t="shared" si="6"/>
        <v>1</v>
      </c>
      <c r="J146">
        <f t="shared" si="7"/>
        <v>0</v>
      </c>
    </row>
    <row r="147" spans="1:10" x14ac:dyDescent="0.25">
      <c r="A147" s="6">
        <v>44706</v>
      </c>
      <c r="B147" s="7">
        <v>0.18429398148148149</v>
      </c>
      <c r="C147" s="7">
        <v>0.86144675925925929</v>
      </c>
      <c r="D147" s="8">
        <v>6</v>
      </c>
      <c r="E147" s="8">
        <v>1.6</v>
      </c>
      <c r="F147" s="8">
        <v>0.94</v>
      </c>
      <c r="G147" s="9">
        <v>4.68</v>
      </c>
      <c r="H147">
        <f t="shared" si="8"/>
        <v>6.4280000000000026</v>
      </c>
      <c r="I147">
        <f t="shared" si="6"/>
        <v>1</v>
      </c>
      <c r="J147">
        <f t="shared" si="7"/>
        <v>0</v>
      </c>
    </row>
    <row r="148" spans="1:10" x14ac:dyDescent="0.25">
      <c r="A148" s="10">
        <v>44707</v>
      </c>
      <c r="B148" s="11">
        <v>0.18351851851851853</v>
      </c>
      <c r="C148" s="11">
        <v>0.86237268518518517</v>
      </c>
      <c r="D148" s="12">
        <v>4</v>
      </c>
      <c r="E148" s="12">
        <v>2.0699999999999998</v>
      </c>
      <c r="F148" s="12">
        <v>1.05</v>
      </c>
      <c r="G148" s="13">
        <v>3.94</v>
      </c>
      <c r="H148">
        <f t="shared" si="8"/>
        <v>3.3280000000000025</v>
      </c>
      <c r="I148">
        <f t="shared" si="6"/>
        <v>1</v>
      </c>
      <c r="J148">
        <f t="shared" si="7"/>
        <v>0</v>
      </c>
    </row>
    <row r="149" spans="1:10" x14ac:dyDescent="0.25">
      <c r="A149" s="6">
        <v>44708</v>
      </c>
      <c r="B149" s="7">
        <v>0.18276620370370369</v>
      </c>
      <c r="C149" s="7">
        <v>0.86328703703703702</v>
      </c>
      <c r="D149" s="8">
        <v>4</v>
      </c>
      <c r="E149" s="8">
        <v>2.96</v>
      </c>
      <c r="F149" s="8">
        <v>1.06</v>
      </c>
      <c r="G149" s="9">
        <v>3.59</v>
      </c>
      <c r="H149">
        <f t="shared" si="8"/>
        <v>0.58600000000000296</v>
      </c>
      <c r="I149">
        <f t="shared" si="6"/>
        <v>1</v>
      </c>
      <c r="J149">
        <f t="shared" si="7"/>
        <v>0</v>
      </c>
    </row>
    <row r="150" spans="1:10" x14ac:dyDescent="0.25">
      <c r="A150" s="10">
        <v>44709</v>
      </c>
      <c r="B150" s="11">
        <v>0.18203703703703702</v>
      </c>
      <c r="C150" s="11">
        <v>0.86416666666666664</v>
      </c>
      <c r="D150" s="12">
        <v>3</v>
      </c>
      <c r="E150" s="12">
        <v>5.78</v>
      </c>
      <c r="F150" s="12">
        <v>4.2</v>
      </c>
      <c r="G150" s="13">
        <v>2.96</v>
      </c>
      <c r="H150">
        <f t="shared" si="8"/>
        <v>0.98600000000000332</v>
      </c>
      <c r="I150">
        <f t="shared" si="6"/>
        <v>1</v>
      </c>
      <c r="J150">
        <f t="shared" si="7"/>
        <v>0</v>
      </c>
    </row>
    <row r="151" spans="1:10" x14ac:dyDescent="0.25">
      <c r="A151" s="6">
        <v>44710</v>
      </c>
      <c r="B151" s="7">
        <v>0.18135416666666668</v>
      </c>
      <c r="C151" s="7">
        <v>0.86504629629629626</v>
      </c>
      <c r="D151" s="8">
        <v>1</v>
      </c>
      <c r="E151" s="8">
        <v>15.38</v>
      </c>
      <c r="F151" s="8">
        <v>10.54</v>
      </c>
      <c r="G151" s="9">
        <v>2.16</v>
      </c>
      <c r="H151">
        <f t="shared" si="8"/>
        <v>7.2580000000000027</v>
      </c>
      <c r="I151">
        <f t="shared" si="6"/>
        <v>1</v>
      </c>
      <c r="J151">
        <f t="shared" si="7"/>
        <v>0</v>
      </c>
    </row>
    <row r="152" spans="1:10" x14ac:dyDescent="0.25">
      <c r="A152" s="10">
        <v>44711</v>
      </c>
      <c r="B152" s="11">
        <v>0.18069444444444444</v>
      </c>
      <c r="C152" s="11">
        <v>0.86589120370370365</v>
      </c>
      <c r="D152" s="12">
        <v>1</v>
      </c>
      <c r="E152" s="12">
        <v>15.89</v>
      </c>
      <c r="F152" s="12">
        <v>9.68</v>
      </c>
      <c r="G152" s="13">
        <v>1.24</v>
      </c>
      <c r="H152">
        <f t="shared" si="8"/>
        <v>13.762000000000002</v>
      </c>
      <c r="I152">
        <f t="shared" si="6"/>
        <v>1</v>
      </c>
      <c r="J152">
        <f t="shared" si="7"/>
        <v>0</v>
      </c>
    </row>
    <row r="153" spans="1:10" x14ac:dyDescent="0.25">
      <c r="A153" s="6">
        <v>44712</v>
      </c>
      <c r="B153" s="7">
        <v>0.18006944444444445</v>
      </c>
      <c r="C153" s="7">
        <v>0.86671296296296296</v>
      </c>
      <c r="D153" s="8">
        <v>0</v>
      </c>
      <c r="E153" s="8">
        <v>18.7</v>
      </c>
      <c r="F153" s="8">
        <v>9.4</v>
      </c>
      <c r="G153" s="9">
        <v>0.39</v>
      </c>
      <c r="H153">
        <f t="shared" si="8"/>
        <v>20.892000000000003</v>
      </c>
      <c r="I153">
        <f t="shared" si="6"/>
        <v>1</v>
      </c>
      <c r="J153">
        <f t="shared" si="7"/>
        <v>0</v>
      </c>
    </row>
    <row r="154" spans="1:10" x14ac:dyDescent="0.25">
      <c r="A154" s="10">
        <v>44713</v>
      </c>
      <c r="B154" s="11">
        <v>0.17947916666666666</v>
      </c>
      <c r="C154" s="11">
        <v>0.86751157407407409</v>
      </c>
      <c r="D154" s="12">
        <v>0</v>
      </c>
      <c r="E154" s="12">
        <v>14.56</v>
      </c>
      <c r="F154" s="12">
        <v>3.3</v>
      </c>
      <c r="G154" s="13">
        <v>0.64</v>
      </c>
      <c r="H154">
        <f t="shared" si="8"/>
        <v>22.892000000000003</v>
      </c>
      <c r="I154">
        <f t="shared" si="6"/>
        <v>1</v>
      </c>
      <c r="J154">
        <f t="shared" si="7"/>
        <v>0</v>
      </c>
    </row>
    <row r="155" spans="1:10" x14ac:dyDescent="0.25">
      <c r="A155" s="6">
        <v>44714</v>
      </c>
      <c r="B155" s="7">
        <v>0.1789236111111111</v>
      </c>
      <c r="C155" s="7">
        <v>0.86828703703703702</v>
      </c>
      <c r="D155" s="8">
        <v>3</v>
      </c>
      <c r="E155" s="8">
        <v>5.87</v>
      </c>
      <c r="F155" s="8">
        <v>2.16</v>
      </c>
      <c r="G155" s="9">
        <v>2.14</v>
      </c>
      <c r="H155">
        <f t="shared" si="8"/>
        <v>22.480000000000004</v>
      </c>
      <c r="I155">
        <f t="shared" si="6"/>
        <v>1</v>
      </c>
      <c r="J155">
        <f t="shared" si="7"/>
        <v>0</v>
      </c>
    </row>
    <row r="156" spans="1:10" x14ac:dyDescent="0.25">
      <c r="A156" s="10">
        <v>44715</v>
      </c>
      <c r="B156" s="11">
        <v>0.17840277777777777</v>
      </c>
      <c r="C156" s="11">
        <v>0.86903935185185188</v>
      </c>
      <c r="D156" s="12">
        <v>0</v>
      </c>
      <c r="E156" s="12">
        <v>19.62</v>
      </c>
      <c r="F156" s="12">
        <v>9.23</v>
      </c>
      <c r="G156" s="13">
        <v>0.34</v>
      </c>
      <c r="H156">
        <f t="shared" si="8"/>
        <v>29.524000000000004</v>
      </c>
      <c r="I156">
        <f t="shared" si="6"/>
        <v>1</v>
      </c>
      <c r="J156">
        <f t="shared" si="7"/>
        <v>0</v>
      </c>
    </row>
    <row r="157" spans="1:10" x14ac:dyDescent="0.25">
      <c r="A157" s="6">
        <v>44716</v>
      </c>
      <c r="B157" s="7">
        <v>0.17791666666666667</v>
      </c>
      <c r="C157" s="7">
        <v>0.8697569444444444</v>
      </c>
      <c r="D157" s="8">
        <v>2</v>
      </c>
      <c r="E157" s="8">
        <v>5.79</v>
      </c>
      <c r="F157" s="8">
        <v>1.35</v>
      </c>
      <c r="G157" s="9">
        <v>1.1200000000000001</v>
      </c>
      <c r="H157">
        <f t="shared" si="8"/>
        <v>29.484000000000005</v>
      </c>
      <c r="I157">
        <f t="shared" si="6"/>
        <v>1</v>
      </c>
      <c r="J157">
        <f t="shared" si="7"/>
        <v>0</v>
      </c>
    </row>
    <row r="158" spans="1:10" x14ac:dyDescent="0.25">
      <c r="A158" s="10">
        <v>44717</v>
      </c>
      <c r="B158" s="11">
        <v>0.1774537037037037</v>
      </c>
      <c r="C158" s="11">
        <v>0.87045138888888884</v>
      </c>
      <c r="D158" s="12">
        <v>1</v>
      </c>
      <c r="E158" s="12">
        <v>10.67</v>
      </c>
      <c r="F158" s="12">
        <v>5.16</v>
      </c>
      <c r="G158" s="13">
        <v>2.68</v>
      </c>
      <c r="H158">
        <f t="shared" si="8"/>
        <v>30.932000000000009</v>
      </c>
      <c r="I158">
        <f t="shared" si="6"/>
        <v>1</v>
      </c>
      <c r="J158">
        <f t="shared" si="7"/>
        <v>0</v>
      </c>
    </row>
    <row r="159" spans="1:10" x14ac:dyDescent="0.25">
      <c r="A159" s="6">
        <v>44718</v>
      </c>
      <c r="B159" s="7">
        <v>0.17703703703703705</v>
      </c>
      <c r="C159" s="7">
        <v>0.87112268518518521</v>
      </c>
      <c r="D159" s="8">
        <v>0</v>
      </c>
      <c r="E159" s="8">
        <v>12.47</v>
      </c>
      <c r="F159" s="8">
        <v>3.15</v>
      </c>
      <c r="G159" s="9">
        <v>1.34</v>
      </c>
      <c r="H159">
        <f t="shared" si="8"/>
        <v>32.112000000000009</v>
      </c>
      <c r="I159">
        <f t="shared" si="6"/>
        <v>1</v>
      </c>
      <c r="J159">
        <f t="shared" si="7"/>
        <v>0</v>
      </c>
    </row>
    <row r="160" spans="1:10" x14ac:dyDescent="0.25">
      <c r="A160" s="10">
        <v>44719</v>
      </c>
      <c r="B160" s="11">
        <v>0.1766550925925926</v>
      </c>
      <c r="C160" s="11">
        <v>0.87175925925925923</v>
      </c>
      <c r="D160" s="12">
        <v>0</v>
      </c>
      <c r="E160" s="12">
        <v>19.79</v>
      </c>
      <c r="F160" s="12">
        <v>12.84</v>
      </c>
      <c r="G160" s="13">
        <v>3.5</v>
      </c>
      <c r="H160">
        <f t="shared" si="8"/>
        <v>38.884000000000007</v>
      </c>
      <c r="I160">
        <f t="shared" si="6"/>
        <v>1</v>
      </c>
      <c r="J160">
        <f t="shared" si="7"/>
        <v>0</v>
      </c>
    </row>
    <row r="161" spans="1:10" x14ac:dyDescent="0.25">
      <c r="A161" s="6">
        <v>44720</v>
      </c>
      <c r="B161" s="7">
        <v>0.17631944444444445</v>
      </c>
      <c r="C161" s="7">
        <v>0.87237268518518518</v>
      </c>
      <c r="D161" s="8">
        <v>0</v>
      </c>
      <c r="E161" s="8">
        <v>12.57</v>
      </c>
      <c r="F161" s="8">
        <v>6.64</v>
      </c>
      <c r="G161" s="9">
        <v>3.26</v>
      </c>
      <c r="H161">
        <f t="shared" si="8"/>
        <v>40.936000000000007</v>
      </c>
      <c r="I161">
        <f t="shared" si="6"/>
        <v>1</v>
      </c>
      <c r="J161">
        <f t="shared" si="7"/>
        <v>0</v>
      </c>
    </row>
    <row r="162" spans="1:10" x14ac:dyDescent="0.25">
      <c r="A162" s="10">
        <v>44721</v>
      </c>
      <c r="B162" s="11">
        <v>0.17600694444444445</v>
      </c>
      <c r="C162" s="11">
        <v>0.8729513888888889</v>
      </c>
      <c r="D162" s="12">
        <v>4</v>
      </c>
      <c r="E162" s="12">
        <v>4.3</v>
      </c>
      <c r="F162" s="12">
        <v>2.36</v>
      </c>
      <c r="G162" s="13">
        <v>3.54</v>
      </c>
      <c r="H162">
        <f t="shared" si="8"/>
        <v>39.284000000000006</v>
      </c>
      <c r="I162">
        <f t="shared" si="6"/>
        <v>1</v>
      </c>
      <c r="J162">
        <f t="shared" si="7"/>
        <v>0</v>
      </c>
    </row>
    <row r="163" spans="1:10" x14ac:dyDescent="0.25">
      <c r="A163" s="6">
        <v>44722</v>
      </c>
      <c r="B163" s="7">
        <v>0.17572916666666666</v>
      </c>
      <c r="C163" s="7">
        <v>0.87349537037037039</v>
      </c>
      <c r="D163" s="8">
        <v>1</v>
      </c>
      <c r="E163" s="8">
        <v>12.65</v>
      </c>
      <c r="F163" s="8">
        <v>6.94</v>
      </c>
      <c r="G163" s="9">
        <v>3.24</v>
      </c>
      <c r="H163">
        <f t="shared" si="8"/>
        <v>41.596000000000004</v>
      </c>
      <c r="I163">
        <f t="shared" si="6"/>
        <v>1</v>
      </c>
      <c r="J163">
        <f t="shared" si="7"/>
        <v>0</v>
      </c>
    </row>
    <row r="164" spans="1:10" x14ac:dyDescent="0.25">
      <c r="A164" s="10">
        <v>44723</v>
      </c>
      <c r="B164" s="11">
        <v>0.17549768518518519</v>
      </c>
      <c r="C164" s="11">
        <v>0.8740162037037037</v>
      </c>
      <c r="D164" s="12">
        <v>1</v>
      </c>
      <c r="E164" s="12">
        <v>8.86</v>
      </c>
      <c r="F164" s="12">
        <v>2.94</v>
      </c>
      <c r="G164" s="13">
        <v>1.68</v>
      </c>
      <c r="H164">
        <f t="shared" si="8"/>
        <v>42.268000000000001</v>
      </c>
      <c r="I164">
        <f t="shared" si="6"/>
        <v>1</v>
      </c>
      <c r="J164">
        <f t="shared" si="7"/>
        <v>0</v>
      </c>
    </row>
    <row r="165" spans="1:10" x14ac:dyDescent="0.25">
      <c r="A165" s="6">
        <v>44724</v>
      </c>
      <c r="B165" s="7">
        <v>0.17530092592592592</v>
      </c>
      <c r="C165" s="7">
        <v>0.87450231481481477</v>
      </c>
      <c r="D165" s="8">
        <v>3</v>
      </c>
      <c r="E165" s="8">
        <v>5.64</v>
      </c>
      <c r="F165" s="8">
        <v>4.25</v>
      </c>
      <c r="G165" s="9">
        <v>4.95</v>
      </c>
      <c r="H165">
        <f t="shared" si="8"/>
        <v>40.717999999999996</v>
      </c>
      <c r="I165">
        <f t="shared" si="6"/>
        <v>1</v>
      </c>
      <c r="J165">
        <f t="shared" si="7"/>
        <v>0</v>
      </c>
    </row>
    <row r="166" spans="1:10" x14ac:dyDescent="0.25">
      <c r="A166" s="10">
        <v>44725</v>
      </c>
      <c r="B166" s="11">
        <v>0.1751388888888889</v>
      </c>
      <c r="C166" s="11">
        <v>0.87495370370370373</v>
      </c>
      <c r="D166" s="12">
        <v>2</v>
      </c>
      <c r="E166" s="12">
        <v>6.89</v>
      </c>
      <c r="F166" s="12">
        <v>3.98</v>
      </c>
      <c r="G166" s="13">
        <v>2.4900000000000002</v>
      </c>
      <c r="H166">
        <f t="shared" si="8"/>
        <v>41.411999999999992</v>
      </c>
      <c r="I166">
        <f t="shared" si="6"/>
        <v>1</v>
      </c>
      <c r="J166">
        <f t="shared" si="7"/>
        <v>0</v>
      </c>
    </row>
    <row r="167" spans="1:10" x14ac:dyDescent="0.25">
      <c r="A167" s="6">
        <v>44726</v>
      </c>
      <c r="B167" s="7">
        <v>0.17501157407407408</v>
      </c>
      <c r="C167" s="7">
        <v>0.87537037037037035</v>
      </c>
      <c r="D167" s="8">
        <v>0</v>
      </c>
      <c r="E167" s="8">
        <v>14.03</v>
      </c>
      <c r="F167" s="8">
        <v>5.68</v>
      </c>
      <c r="G167" s="9">
        <v>2.95</v>
      </c>
      <c r="H167">
        <f t="shared" si="8"/>
        <v>43.005999999999986</v>
      </c>
      <c r="I167">
        <f t="shared" si="6"/>
        <v>1</v>
      </c>
      <c r="J167">
        <f t="shared" si="7"/>
        <v>0</v>
      </c>
    </row>
    <row r="168" spans="1:10" x14ac:dyDescent="0.25">
      <c r="A168" s="10">
        <v>44727</v>
      </c>
      <c r="B168" s="11">
        <v>0.17493055555555556</v>
      </c>
      <c r="C168" s="11">
        <v>0.87575231481481486</v>
      </c>
      <c r="D168" s="12">
        <v>1</v>
      </c>
      <c r="E168" s="12">
        <v>11.04</v>
      </c>
      <c r="F168" s="12">
        <v>4.9400000000000004</v>
      </c>
      <c r="G168" s="13">
        <v>3.41</v>
      </c>
      <c r="H168">
        <f t="shared" si="8"/>
        <v>43.547999999999988</v>
      </c>
      <c r="I168">
        <f t="shared" si="6"/>
        <v>1</v>
      </c>
      <c r="J168">
        <f t="shared" si="7"/>
        <v>0</v>
      </c>
    </row>
    <row r="169" spans="1:10" x14ac:dyDescent="0.25">
      <c r="A169" s="6">
        <v>44728</v>
      </c>
      <c r="B169" s="7">
        <v>0.17487268518518517</v>
      </c>
      <c r="C169" s="7">
        <v>0.87609953703703702</v>
      </c>
      <c r="D169" s="8">
        <v>0</v>
      </c>
      <c r="E169" s="8">
        <v>11.7</v>
      </c>
      <c r="F169" s="8">
        <v>4.79</v>
      </c>
      <c r="G169" s="9">
        <v>2.5099999999999998</v>
      </c>
      <c r="H169">
        <f t="shared" si="8"/>
        <v>44.86999999999999</v>
      </c>
      <c r="I169">
        <f t="shared" si="6"/>
        <v>1</v>
      </c>
      <c r="J169">
        <f t="shared" si="7"/>
        <v>0</v>
      </c>
    </row>
    <row r="170" spans="1:10" x14ac:dyDescent="0.25">
      <c r="A170" s="10">
        <v>44729</v>
      </c>
      <c r="B170" s="11">
        <v>0.17486111111111111</v>
      </c>
      <c r="C170" s="11">
        <v>0.87641203703703707</v>
      </c>
      <c r="D170" s="12">
        <v>3</v>
      </c>
      <c r="E170" s="12">
        <v>5.39</v>
      </c>
      <c r="F170" s="12">
        <v>4.6500000000000004</v>
      </c>
      <c r="G170" s="13">
        <v>4.25</v>
      </c>
      <c r="H170">
        <f t="shared" si="8"/>
        <v>44.339999999999989</v>
      </c>
      <c r="I170">
        <f t="shared" si="6"/>
        <v>1</v>
      </c>
      <c r="J170">
        <f t="shared" si="7"/>
        <v>0</v>
      </c>
    </row>
    <row r="171" spans="1:10" x14ac:dyDescent="0.25">
      <c r="A171" s="6">
        <v>44730</v>
      </c>
      <c r="B171" s="7">
        <v>0.17488425925925927</v>
      </c>
      <c r="C171" s="7">
        <v>0.87668981481481478</v>
      </c>
      <c r="D171" s="8">
        <v>0</v>
      </c>
      <c r="E171" s="8">
        <v>11.1</v>
      </c>
      <c r="F171" s="8">
        <v>4.6399999999999997</v>
      </c>
      <c r="G171" s="9">
        <v>3.54</v>
      </c>
      <c r="H171">
        <f t="shared" si="8"/>
        <v>44.511999999999993</v>
      </c>
      <c r="I171">
        <f t="shared" si="6"/>
        <v>1</v>
      </c>
      <c r="J171">
        <f t="shared" si="7"/>
        <v>0</v>
      </c>
    </row>
    <row r="172" spans="1:10" x14ac:dyDescent="0.25">
      <c r="A172" s="10">
        <v>44731</v>
      </c>
      <c r="B172" s="11">
        <v>0.17495370370370369</v>
      </c>
      <c r="C172" s="11">
        <v>0.87693287037037038</v>
      </c>
      <c r="D172" s="12">
        <v>0</v>
      </c>
      <c r="E172" s="12">
        <v>15.81</v>
      </c>
      <c r="F172" s="12">
        <v>7.63</v>
      </c>
      <c r="G172" s="13">
        <v>2.02</v>
      </c>
      <c r="H172">
        <f t="shared" si="8"/>
        <v>48.595999999999989</v>
      </c>
      <c r="I172">
        <f t="shared" si="6"/>
        <v>1</v>
      </c>
      <c r="J172">
        <f t="shared" si="7"/>
        <v>0</v>
      </c>
    </row>
    <row r="173" spans="1:10" x14ac:dyDescent="0.25">
      <c r="A173" s="6">
        <v>44732</v>
      </c>
      <c r="B173" s="7">
        <v>0.17504629629629628</v>
      </c>
      <c r="C173" s="7">
        <v>0.87712962962962959</v>
      </c>
      <c r="D173" s="8">
        <v>2</v>
      </c>
      <c r="E173" s="8">
        <v>8.8800000000000008</v>
      </c>
      <c r="F173" s="8">
        <v>6.14</v>
      </c>
      <c r="G173" s="9">
        <v>3.61</v>
      </c>
      <c r="H173">
        <f t="shared" si="8"/>
        <v>49.897999999999989</v>
      </c>
      <c r="I173">
        <f t="shared" si="6"/>
        <v>1</v>
      </c>
      <c r="J173">
        <f t="shared" si="7"/>
        <v>0</v>
      </c>
    </row>
    <row r="174" spans="1:10" x14ac:dyDescent="0.25">
      <c r="A174" s="10">
        <v>44733</v>
      </c>
      <c r="B174" s="11">
        <v>0.17518518518518519</v>
      </c>
      <c r="C174" s="11">
        <v>0.87730324074074073</v>
      </c>
      <c r="D174" s="12">
        <v>0</v>
      </c>
      <c r="E174" s="12">
        <v>14.44</v>
      </c>
      <c r="F174" s="12">
        <v>3.61</v>
      </c>
      <c r="G174" s="13">
        <v>0.56999999999999995</v>
      </c>
      <c r="H174">
        <f t="shared" si="8"/>
        <v>52.215999999999987</v>
      </c>
      <c r="I174">
        <f t="shared" si="6"/>
        <v>0</v>
      </c>
      <c r="J174">
        <f t="shared" si="7"/>
        <v>0</v>
      </c>
    </row>
    <row r="175" spans="1:10" x14ac:dyDescent="0.25">
      <c r="A175" s="6">
        <v>44734</v>
      </c>
      <c r="B175" s="7">
        <v>0.1753587962962963</v>
      </c>
      <c r="C175" s="7">
        <v>0.8774305555555556</v>
      </c>
      <c r="D175" s="8">
        <v>1</v>
      </c>
      <c r="E175" s="8">
        <v>9.7899999999999991</v>
      </c>
      <c r="F175" s="8">
        <v>4.8</v>
      </c>
      <c r="G175" s="9">
        <v>3.05</v>
      </c>
      <c r="H175">
        <f t="shared" si="8"/>
        <v>53.005999999999986</v>
      </c>
      <c r="I175">
        <f t="shared" si="6"/>
        <v>0</v>
      </c>
      <c r="J175">
        <f t="shared" si="7"/>
        <v>0</v>
      </c>
    </row>
    <row r="176" spans="1:10" x14ac:dyDescent="0.25">
      <c r="A176" s="10">
        <v>44735</v>
      </c>
      <c r="B176" s="11">
        <v>0.17556712962962964</v>
      </c>
      <c r="C176" s="11">
        <v>0.87752314814814814</v>
      </c>
      <c r="D176" s="12">
        <v>0</v>
      </c>
      <c r="E176" s="12">
        <v>14.78</v>
      </c>
      <c r="F176" s="12">
        <v>6.76</v>
      </c>
      <c r="G176" s="13">
        <v>3.64</v>
      </c>
      <c r="H176">
        <f t="shared" si="8"/>
        <v>54.773999999999987</v>
      </c>
      <c r="I176">
        <f t="shared" si="6"/>
        <v>0</v>
      </c>
      <c r="J176">
        <f t="shared" si="7"/>
        <v>0</v>
      </c>
    </row>
    <row r="177" spans="1:10" x14ac:dyDescent="0.25">
      <c r="A177" s="6">
        <v>44736</v>
      </c>
      <c r="B177" s="7">
        <v>0.17581018518518518</v>
      </c>
      <c r="C177" s="7">
        <v>0.87758101851851855</v>
      </c>
      <c r="D177" s="8">
        <v>0</v>
      </c>
      <c r="E177" s="8">
        <v>14.52</v>
      </c>
      <c r="F177" s="8">
        <v>8.19</v>
      </c>
      <c r="G177" s="9">
        <v>3.95</v>
      </c>
      <c r="H177">
        <f t="shared" si="8"/>
        <v>57.375999999999983</v>
      </c>
      <c r="I177">
        <f t="shared" si="6"/>
        <v>0</v>
      </c>
      <c r="J177">
        <f t="shared" si="7"/>
        <v>0</v>
      </c>
    </row>
    <row r="178" spans="1:10" x14ac:dyDescent="0.25">
      <c r="A178" s="10">
        <v>44737</v>
      </c>
      <c r="B178" s="11">
        <v>0.17608796296296297</v>
      </c>
      <c r="C178" s="11">
        <v>0.87759259259259259</v>
      </c>
      <c r="D178" s="12">
        <v>3</v>
      </c>
      <c r="E178" s="12">
        <v>5.86</v>
      </c>
      <c r="F178" s="12">
        <v>4.1900000000000004</v>
      </c>
      <c r="G178" s="13">
        <v>3.85</v>
      </c>
      <c r="H178">
        <f t="shared" si="8"/>
        <v>56.877999999999979</v>
      </c>
      <c r="I178">
        <f t="shared" si="6"/>
        <v>0</v>
      </c>
      <c r="J178">
        <f t="shared" si="7"/>
        <v>0</v>
      </c>
    </row>
    <row r="179" spans="1:10" x14ac:dyDescent="0.25">
      <c r="A179" s="6">
        <v>44738</v>
      </c>
      <c r="B179" s="7">
        <v>0.17640046296296297</v>
      </c>
      <c r="C179" s="7">
        <v>0.8775694444444444</v>
      </c>
      <c r="D179" s="8">
        <v>1</v>
      </c>
      <c r="E179" s="8">
        <v>12.81</v>
      </c>
      <c r="F179" s="8">
        <v>7.18</v>
      </c>
      <c r="G179" s="9">
        <v>1.54</v>
      </c>
      <c r="H179">
        <f t="shared" si="8"/>
        <v>61.081999999999979</v>
      </c>
      <c r="I179">
        <f t="shared" si="6"/>
        <v>0</v>
      </c>
      <c r="J179">
        <f t="shared" si="7"/>
        <v>0</v>
      </c>
    </row>
    <row r="180" spans="1:10" x14ac:dyDescent="0.25">
      <c r="A180" s="10">
        <v>44739</v>
      </c>
      <c r="B180" s="11">
        <v>0.17674768518518519</v>
      </c>
      <c r="C180" s="11">
        <v>0.8775115740740741</v>
      </c>
      <c r="D180" s="12">
        <v>0</v>
      </c>
      <c r="E180" s="12">
        <v>13.22</v>
      </c>
      <c r="F180" s="12">
        <v>5.53</v>
      </c>
      <c r="G180" s="13">
        <v>4.26</v>
      </c>
      <c r="H180">
        <f t="shared" si="8"/>
        <v>61.245999999999988</v>
      </c>
      <c r="I180">
        <f t="shared" si="6"/>
        <v>0</v>
      </c>
      <c r="J180">
        <f t="shared" si="7"/>
        <v>0</v>
      </c>
    </row>
    <row r="181" spans="1:10" x14ac:dyDescent="0.25">
      <c r="A181" s="6">
        <v>44740</v>
      </c>
      <c r="B181" s="7">
        <v>0.17712962962962964</v>
      </c>
      <c r="C181" s="7">
        <v>0.87741898148148145</v>
      </c>
      <c r="D181" s="8">
        <v>0</v>
      </c>
      <c r="E181" s="8">
        <v>14.18</v>
      </c>
      <c r="F181" s="8">
        <v>6.49</v>
      </c>
      <c r="G181" s="9">
        <v>3.84</v>
      </c>
      <c r="H181">
        <f t="shared" si="8"/>
        <v>62.597999999999985</v>
      </c>
      <c r="I181">
        <f t="shared" si="6"/>
        <v>0</v>
      </c>
      <c r="J181">
        <f t="shared" si="7"/>
        <v>0</v>
      </c>
    </row>
    <row r="182" spans="1:10" x14ac:dyDescent="0.25">
      <c r="A182" s="10">
        <v>44741</v>
      </c>
      <c r="B182" s="11">
        <v>0.17754629629629629</v>
      </c>
      <c r="C182" s="11">
        <v>0.87729166666666669</v>
      </c>
      <c r="D182" s="12">
        <v>0</v>
      </c>
      <c r="E182" s="12">
        <v>18.47</v>
      </c>
      <c r="F182" s="12">
        <v>9.1999999999999993</v>
      </c>
      <c r="G182" s="13">
        <v>2.4700000000000002</v>
      </c>
      <c r="H182">
        <f t="shared" si="8"/>
        <v>67.487999999999985</v>
      </c>
      <c r="I182">
        <f t="shared" si="6"/>
        <v>0</v>
      </c>
      <c r="J182">
        <f t="shared" si="7"/>
        <v>0</v>
      </c>
    </row>
    <row r="183" spans="1:10" x14ac:dyDescent="0.25">
      <c r="A183" s="6">
        <v>44742</v>
      </c>
      <c r="B183" s="7">
        <v>0.17799768518518519</v>
      </c>
      <c r="C183" s="7">
        <v>0.87711805555555555</v>
      </c>
      <c r="D183" s="8">
        <v>3</v>
      </c>
      <c r="E183" s="8">
        <v>6.81</v>
      </c>
      <c r="F183" s="8">
        <v>2.59</v>
      </c>
      <c r="G183" s="9">
        <v>1.95</v>
      </c>
      <c r="H183">
        <f t="shared" si="8"/>
        <v>67.609999999999985</v>
      </c>
      <c r="I183">
        <f t="shared" si="6"/>
        <v>0</v>
      </c>
      <c r="J183">
        <f t="shared" si="7"/>
        <v>0</v>
      </c>
    </row>
    <row r="184" spans="1:10" x14ac:dyDescent="0.25">
      <c r="A184" s="10">
        <v>44743</v>
      </c>
      <c r="B184" s="11">
        <v>0.17847222222222223</v>
      </c>
      <c r="C184" s="11">
        <v>0.87690972222222219</v>
      </c>
      <c r="D184" s="12">
        <v>2</v>
      </c>
      <c r="E184" s="12">
        <v>2.96</v>
      </c>
      <c r="F184" s="12">
        <v>1.54</v>
      </c>
      <c r="G184" s="13">
        <v>4.5199999999999996</v>
      </c>
      <c r="H184">
        <f t="shared" si="8"/>
        <v>64.321999999999989</v>
      </c>
      <c r="I184">
        <f t="shared" si="6"/>
        <v>0</v>
      </c>
      <c r="J184">
        <f t="shared" si="7"/>
        <v>0</v>
      </c>
    </row>
    <row r="185" spans="1:10" x14ac:dyDescent="0.25">
      <c r="A185" s="6">
        <v>44744</v>
      </c>
      <c r="B185" s="7">
        <v>0.17898148148148149</v>
      </c>
      <c r="C185" s="7">
        <v>0.87665509259259256</v>
      </c>
      <c r="D185" s="8">
        <v>0</v>
      </c>
      <c r="E185" s="8">
        <v>13.76</v>
      </c>
      <c r="F185" s="8">
        <v>7.09</v>
      </c>
      <c r="G185" s="9">
        <v>4.32</v>
      </c>
      <c r="H185">
        <f t="shared" si="8"/>
        <v>65.673999999999978</v>
      </c>
      <c r="I185">
        <f t="shared" si="6"/>
        <v>0</v>
      </c>
      <c r="J185">
        <f t="shared" si="7"/>
        <v>0</v>
      </c>
    </row>
    <row r="186" spans="1:10" x14ac:dyDescent="0.25">
      <c r="A186" s="10">
        <v>44745</v>
      </c>
      <c r="B186" s="11">
        <v>0.17952546296296296</v>
      </c>
      <c r="C186" s="11">
        <v>0.87637731481481485</v>
      </c>
      <c r="D186" s="12">
        <v>0</v>
      </c>
      <c r="E186" s="12">
        <v>17.920000000000002</v>
      </c>
      <c r="F186" s="12">
        <v>10.28</v>
      </c>
      <c r="G186" s="13">
        <v>2.65</v>
      </c>
      <c r="H186">
        <f t="shared" si="8"/>
        <v>71.247999999999976</v>
      </c>
      <c r="I186">
        <f t="shared" si="6"/>
        <v>0</v>
      </c>
      <c r="J186">
        <f t="shared" si="7"/>
        <v>0</v>
      </c>
    </row>
    <row r="187" spans="1:10" x14ac:dyDescent="0.25">
      <c r="A187" s="6">
        <v>44746</v>
      </c>
      <c r="B187" s="7">
        <v>0.18010416666666668</v>
      </c>
      <c r="C187" s="7">
        <v>0.87605324074074076</v>
      </c>
      <c r="D187" s="8">
        <v>0</v>
      </c>
      <c r="E187" s="8">
        <v>19.89</v>
      </c>
      <c r="F187" s="8">
        <v>10.64</v>
      </c>
      <c r="G187" s="9">
        <v>1.48</v>
      </c>
      <c r="H187">
        <f t="shared" si="8"/>
        <v>78.279999999999973</v>
      </c>
      <c r="I187">
        <f t="shared" si="6"/>
        <v>0</v>
      </c>
      <c r="J187">
        <f t="shared" si="7"/>
        <v>0</v>
      </c>
    </row>
    <row r="188" spans="1:10" x14ac:dyDescent="0.25">
      <c r="A188" s="10">
        <v>44747</v>
      </c>
      <c r="B188" s="11">
        <v>0.18069444444444444</v>
      </c>
      <c r="C188" s="11">
        <v>0.87569444444444444</v>
      </c>
      <c r="D188" s="12">
        <v>0</v>
      </c>
      <c r="E188" s="12">
        <v>19.149999999999999</v>
      </c>
      <c r="F188" s="12">
        <v>11.79</v>
      </c>
      <c r="G188" s="13">
        <v>2.95</v>
      </c>
      <c r="H188">
        <f t="shared" si="8"/>
        <v>84.761999999999972</v>
      </c>
      <c r="I188">
        <f t="shared" si="6"/>
        <v>0</v>
      </c>
      <c r="J188">
        <f t="shared" si="7"/>
        <v>0</v>
      </c>
    </row>
    <row r="189" spans="1:10" x14ac:dyDescent="0.25">
      <c r="A189" s="6">
        <v>44748</v>
      </c>
      <c r="B189" s="7">
        <v>0.18133101851851852</v>
      </c>
      <c r="C189" s="7">
        <v>0.8753009259259259</v>
      </c>
      <c r="D189" s="8">
        <v>1</v>
      </c>
      <c r="E189" s="8">
        <v>14.68</v>
      </c>
      <c r="F189" s="8">
        <v>11.32</v>
      </c>
      <c r="G189" s="9">
        <v>4.26</v>
      </c>
      <c r="H189">
        <f t="shared" si="8"/>
        <v>89.557999999999964</v>
      </c>
      <c r="I189">
        <f t="shared" si="6"/>
        <v>0</v>
      </c>
      <c r="J189">
        <f t="shared" si="7"/>
        <v>0</v>
      </c>
    </row>
    <row r="190" spans="1:10" x14ac:dyDescent="0.25">
      <c r="A190" s="10">
        <v>44749</v>
      </c>
      <c r="B190" s="11">
        <v>0.18199074074074073</v>
      </c>
      <c r="C190" s="11">
        <v>0.87487268518518524</v>
      </c>
      <c r="D190" s="12">
        <v>0</v>
      </c>
      <c r="E190" s="12">
        <v>16.95</v>
      </c>
      <c r="F190" s="12">
        <v>9.57</v>
      </c>
      <c r="G190" s="13">
        <v>3.24</v>
      </c>
      <c r="H190">
        <f t="shared" si="8"/>
        <v>93.973999999999975</v>
      </c>
      <c r="I190">
        <f t="shared" si="6"/>
        <v>0</v>
      </c>
      <c r="J190">
        <f t="shared" si="7"/>
        <v>0</v>
      </c>
    </row>
    <row r="191" spans="1:10" x14ac:dyDescent="0.25">
      <c r="A191" s="6">
        <v>44750</v>
      </c>
      <c r="B191" s="7">
        <v>0.18267361111111111</v>
      </c>
      <c r="C191" s="7">
        <v>0.87440972222222224</v>
      </c>
      <c r="D191" s="8">
        <v>1</v>
      </c>
      <c r="E191" s="8">
        <v>11.9</v>
      </c>
      <c r="F191" s="8">
        <v>7.34</v>
      </c>
      <c r="G191" s="9">
        <v>4.8099999999999996</v>
      </c>
      <c r="H191">
        <f t="shared" si="8"/>
        <v>95.035999999999973</v>
      </c>
      <c r="I191">
        <f t="shared" si="6"/>
        <v>0</v>
      </c>
      <c r="J191">
        <f t="shared" si="7"/>
        <v>0</v>
      </c>
    </row>
    <row r="192" spans="1:10" x14ac:dyDescent="0.25">
      <c r="A192" s="10">
        <v>44751</v>
      </c>
      <c r="B192" s="11">
        <v>0.18337962962962964</v>
      </c>
      <c r="C192" s="11">
        <v>0.87390046296296298</v>
      </c>
      <c r="D192" s="12">
        <v>0</v>
      </c>
      <c r="E192" s="12">
        <v>19.440000000000001</v>
      </c>
      <c r="F192" s="12">
        <v>11.14</v>
      </c>
      <c r="G192" s="13">
        <v>2.91</v>
      </c>
      <c r="H192">
        <f t="shared" si="8"/>
        <v>101.03799999999998</v>
      </c>
      <c r="I192">
        <f t="shared" si="6"/>
        <v>0</v>
      </c>
      <c r="J192">
        <f t="shared" si="7"/>
        <v>0</v>
      </c>
    </row>
    <row r="193" spans="1:10" x14ac:dyDescent="0.25">
      <c r="A193" s="6">
        <v>44752</v>
      </c>
      <c r="B193" s="7">
        <v>0.18412037037037038</v>
      </c>
      <c r="C193" s="7">
        <v>0.87336805555555552</v>
      </c>
      <c r="D193" s="8">
        <v>0</v>
      </c>
      <c r="E193" s="8">
        <v>19.54</v>
      </c>
      <c r="F193" s="8">
        <v>12.94</v>
      </c>
      <c r="G193" s="9">
        <v>3.47</v>
      </c>
      <c r="H193">
        <f t="shared" si="8"/>
        <v>107.91999999999999</v>
      </c>
      <c r="I193">
        <f t="shared" si="6"/>
        <v>0</v>
      </c>
      <c r="J193">
        <f t="shared" si="7"/>
        <v>0</v>
      </c>
    </row>
    <row r="194" spans="1:10" x14ac:dyDescent="0.25">
      <c r="A194" s="10">
        <v>44753</v>
      </c>
      <c r="B194" s="11">
        <v>0.18487268518518518</v>
      </c>
      <c r="C194" s="11">
        <v>0.87280092592592595</v>
      </c>
      <c r="D194" s="12">
        <v>0</v>
      </c>
      <c r="E194" s="12">
        <v>18.52</v>
      </c>
      <c r="F194" s="12">
        <v>12.35</v>
      </c>
      <c r="G194" s="13">
        <v>1.85</v>
      </c>
      <c r="H194">
        <f t="shared" si="8"/>
        <v>115.94999999999999</v>
      </c>
      <c r="I194">
        <f t="shared" si="6"/>
        <v>0</v>
      </c>
      <c r="J194">
        <f t="shared" si="7"/>
        <v>0</v>
      </c>
    </row>
    <row r="195" spans="1:10" x14ac:dyDescent="0.25">
      <c r="A195" s="6">
        <v>44754</v>
      </c>
      <c r="B195" s="7">
        <v>0.18565972222222221</v>
      </c>
      <c r="C195" s="7">
        <v>0.8721875</v>
      </c>
      <c r="D195" s="8">
        <v>0</v>
      </c>
      <c r="E195" s="8">
        <v>19.77</v>
      </c>
      <c r="F195" s="8">
        <v>11.78</v>
      </c>
      <c r="G195" s="9">
        <v>1.95</v>
      </c>
      <c r="H195">
        <f t="shared" si="8"/>
        <v>123.42399999999999</v>
      </c>
      <c r="I195">
        <f t="shared" ref="I195:I258" si="9">IF(H195&lt;50,1,0)</f>
        <v>0</v>
      </c>
      <c r="J195">
        <f t="shared" ref="J195:J258" si="10">IF(H195&lt;0,1,0)</f>
        <v>0</v>
      </c>
    </row>
    <row r="196" spans="1:10" x14ac:dyDescent="0.25">
      <c r="A196" s="10">
        <v>44755</v>
      </c>
      <c r="B196" s="11">
        <v>0.1864699074074074</v>
      </c>
      <c r="C196" s="11">
        <v>0.87155092592592598</v>
      </c>
      <c r="D196" s="12">
        <v>0</v>
      </c>
      <c r="E196" s="12">
        <v>17.22</v>
      </c>
      <c r="F196" s="12">
        <v>9.69</v>
      </c>
      <c r="G196" s="13">
        <v>2.84</v>
      </c>
      <c r="H196">
        <f t="shared" ref="H196:H259" si="11">H195+(F196*0.8)-G196</f>
        <v>128.33599999999998</v>
      </c>
      <c r="I196">
        <f t="shared" si="9"/>
        <v>0</v>
      </c>
      <c r="J196">
        <f t="shared" si="10"/>
        <v>0</v>
      </c>
    </row>
    <row r="197" spans="1:10" x14ac:dyDescent="0.25">
      <c r="A197" s="6">
        <v>44756</v>
      </c>
      <c r="B197" s="7">
        <v>0.18729166666666666</v>
      </c>
      <c r="C197" s="7">
        <v>0.87087962962962961</v>
      </c>
      <c r="D197" s="8">
        <v>1</v>
      </c>
      <c r="E197" s="8">
        <v>14.02</v>
      </c>
      <c r="F197" s="8">
        <v>8.5399999999999991</v>
      </c>
      <c r="G197" s="9">
        <v>2.69</v>
      </c>
      <c r="H197">
        <f t="shared" si="11"/>
        <v>132.47799999999998</v>
      </c>
      <c r="I197">
        <f t="shared" si="9"/>
        <v>0</v>
      </c>
      <c r="J197">
        <f t="shared" si="10"/>
        <v>0</v>
      </c>
    </row>
    <row r="198" spans="1:10" x14ac:dyDescent="0.25">
      <c r="A198" s="10">
        <v>44757</v>
      </c>
      <c r="B198" s="11">
        <v>0.18813657407407408</v>
      </c>
      <c r="C198" s="11">
        <v>0.87017361111111113</v>
      </c>
      <c r="D198" s="12">
        <v>1</v>
      </c>
      <c r="E198" s="12">
        <v>15.96</v>
      </c>
      <c r="F198" s="12">
        <v>11.95</v>
      </c>
      <c r="G198" s="13">
        <v>3.05</v>
      </c>
      <c r="H198">
        <f t="shared" si="11"/>
        <v>138.98799999999997</v>
      </c>
      <c r="I198">
        <f t="shared" si="9"/>
        <v>0</v>
      </c>
      <c r="J198">
        <f t="shared" si="10"/>
        <v>0</v>
      </c>
    </row>
    <row r="199" spans="1:10" x14ac:dyDescent="0.25">
      <c r="A199" s="6">
        <v>44758</v>
      </c>
      <c r="B199" s="7">
        <v>0.1890162037037037</v>
      </c>
      <c r="C199" s="7">
        <v>0.86944444444444446</v>
      </c>
      <c r="D199" s="8">
        <v>1</v>
      </c>
      <c r="E199" s="8">
        <v>15.06</v>
      </c>
      <c r="F199" s="8">
        <v>7.68</v>
      </c>
      <c r="G199" s="9">
        <v>1.1599999999999999</v>
      </c>
      <c r="H199">
        <f t="shared" si="11"/>
        <v>143.97199999999998</v>
      </c>
      <c r="I199">
        <f t="shared" si="9"/>
        <v>0</v>
      </c>
      <c r="J199">
        <f t="shared" si="10"/>
        <v>0</v>
      </c>
    </row>
    <row r="200" spans="1:10" x14ac:dyDescent="0.25">
      <c r="A200" s="10">
        <v>44759</v>
      </c>
      <c r="B200" s="11">
        <v>0.18989583333333335</v>
      </c>
      <c r="C200" s="11">
        <v>0.86868055555555557</v>
      </c>
      <c r="D200" s="12">
        <v>0</v>
      </c>
      <c r="E200" s="12">
        <v>19.62</v>
      </c>
      <c r="F200" s="12">
        <v>10.19</v>
      </c>
      <c r="G200" s="13">
        <v>0.47</v>
      </c>
      <c r="H200">
        <f t="shared" si="11"/>
        <v>151.65399999999997</v>
      </c>
      <c r="I200">
        <f t="shared" si="9"/>
        <v>0</v>
      </c>
      <c r="J200">
        <f t="shared" si="10"/>
        <v>0</v>
      </c>
    </row>
    <row r="201" spans="1:10" x14ac:dyDescent="0.25">
      <c r="A201" s="6">
        <v>44760</v>
      </c>
      <c r="B201" s="7">
        <v>0.19081018518518519</v>
      </c>
      <c r="C201" s="7">
        <v>0.86788194444444444</v>
      </c>
      <c r="D201" s="8">
        <v>0</v>
      </c>
      <c r="E201" s="8">
        <v>18.97</v>
      </c>
      <c r="F201" s="8">
        <v>8.85</v>
      </c>
      <c r="G201" s="9">
        <v>1.66</v>
      </c>
      <c r="H201">
        <f t="shared" si="11"/>
        <v>157.07399999999998</v>
      </c>
      <c r="I201">
        <f t="shared" si="9"/>
        <v>0</v>
      </c>
      <c r="J201">
        <f t="shared" si="10"/>
        <v>0</v>
      </c>
    </row>
    <row r="202" spans="1:10" x14ac:dyDescent="0.25">
      <c r="A202" s="10">
        <v>44761</v>
      </c>
      <c r="B202" s="11">
        <v>0.19172453703703704</v>
      </c>
      <c r="C202" s="11">
        <v>0.86704861111111109</v>
      </c>
      <c r="D202" s="12">
        <v>0</v>
      </c>
      <c r="E202" s="12">
        <v>17.940000000000001</v>
      </c>
      <c r="F202" s="12">
        <v>9.83</v>
      </c>
      <c r="G202" s="13">
        <v>3.13</v>
      </c>
      <c r="H202">
        <f t="shared" si="11"/>
        <v>161.80799999999999</v>
      </c>
      <c r="I202">
        <f t="shared" si="9"/>
        <v>0</v>
      </c>
      <c r="J202">
        <f t="shared" si="10"/>
        <v>0</v>
      </c>
    </row>
    <row r="203" spans="1:10" x14ac:dyDescent="0.25">
      <c r="A203" s="6">
        <v>44762</v>
      </c>
      <c r="B203" s="7">
        <v>0.19267361111111111</v>
      </c>
      <c r="C203" s="7">
        <v>0.86619212962962966</v>
      </c>
      <c r="D203" s="8">
        <v>0</v>
      </c>
      <c r="E203" s="8">
        <v>17.350000000000001</v>
      </c>
      <c r="F203" s="8">
        <v>11.02</v>
      </c>
      <c r="G203" s="9">
        <v>2.82</v>
      </c>
      <c r="H203">
        <f t="shared" si="11"/>
        <v>167.804</v>
      </c>
      <c r="I203">
        <f t="shared" si="9"/>
        <v>0</v>
      </c>
      <c r="J203">
        <f t="shared" si="10"/>
        <v>0</v>
      </c>
    </row>
    <row r="204" spans="1:10" x14ac:dyDescent="0.25">
      <c r="A204" s="10">
        <v>44763</v>
      </c>
      <c r="B204" s="11">
        <v>0.19362268518518519</v>
      </c>
      <c r="C204" s="11">
        <v>0.86531250000000004</v>
      </c>
      <c r="D204" s="12">
        <v>0</v>
      </c>
      <c r="E204" s="12">
        <v>18.3</v>
      </c>
      <c r="F204" s="12">
        <v>10.96</v>
      </c>
      <c r="G204" s="13">
        <v>2.14</v>
      </c>
      <c r="H204">
        <f t="shared" si="11"/>
        <v>174.43200000000002</v>
      </c>
      <c r="I204">
        <f t="shared" si="9"/>
        <v>0</v>
      </c>
      <c r="J204">
        <f t="shared" si="10"/>
        <v>0</v>
      </c>
    </row>
    <row r="205" spans="1:10" x14ac:dyDescent="0.25">
      <c r="A205" s="6">
        <v>44764</v>
      </c>
      <c r="B205" s="7">
        <v>0.1945949074074074</v>
      </c>
      <c r="C205" s="7">
        <v>0.86439814814814819</v>
      </c>
      <c r="D205" s="8">
        <v>0</v>
      </c>
      <c r="E205" s="8">
        <v>17.04</v>
      </c>
      <c r="F205" s="8">
        <v>9.85</v>
      </c>
      <c r="G205" s="9">
        <v>2.2599999999999998</v>
      </c>
      <c r="H205">
        <f t="shared" si="11"/>
        <v>180.05200000000002</v>
      </c>
      <c r="I205">
        <f t="shared" si="9"/>
        <v>0</v>
      </c>
      <c r="J205">
        <f t="shared" si="10"/>
        <v>0</v>
      </c>
    </row>
    <row r="206" spans="1:10" x14ac:dyDescent="0.25">
      <c r="A206" s="10">
        <v>44765</v>
      </c>
      <c r="B206" s="11">
        <v>0.1955787037037037</v>
      </c>
      <c r="C206" s="11">
        <v>0.86346064814814816</v>
      </c>
      <c r="D206" s="12">
        <v>0</v>
      </c>
      <c r="E206" s="12">
        <v>18.850000000000001</v>
      </c>
      <c r="F206" s="12">
        <v>11.75</v>
      </c>
      <c r="G206" s="13">
        <v>2.94</v>
      </c>
      <c r="H206">
        <f t="shared" si="11"/>
        <v>186.51200000000003</v>
      </c>
      <c r="I206">
        <f t="shared" si="9"/>
        <v>0</v>
      </c>
      <c r="J206">
        <f t="shared" si="10"/>
        <v>0</v>
      </c>
    </row>
    <row r="207" spans="1:10" x14ac:dyDescent="0.25">
      <c r="A207" s="6">
        <v>44766</v>
      </c>
      <c r="B207" s="7">
        <v>0.19658564814814813</v>
      </c>
      <c r="C207" s="7">
        <v>0.86248842592592589</v>
      </c>
      <c r="D207" s="8">
        <v>0</v>
      </c>
      <c r="E207" s="8">
        <v>16.55</v>
      </c>
      <c r="F207" s="8">
        <v>8.33</v>
      </c>
      <c r="G207" s="9">
        <v>1.56</v>
      </c>
      <c r="H207">
        <f t="shared" si="11"/>
        <v>191.61600000000001</v>
      </c>
      <c r="I207">
        <f t="shared" si="9"/>
        <v>0</v>
      </c>
      <c r="J207">
        <f t="shared" si="10"/>
        <v>0</v>
      </c>
    </row>
    <row r="208" spans="1:10" x14ac:dyDescent="0.25">
      <c r="A208" s="10">
        <v>44767</v>
      </c>
      <c r="B208" s="11">
        <v>0.1975925925925926</v>
      </c>
      <c r="C208" s="11">
        <v>0.86149305555555555</v>
      </c>
      <c r="D208" s="12">
        <v>1</v>
      </c>
      <c r="E208" s="12">
        <v>13.83</v>
      </c>
      <c r="F208" s="12">
        <v>8.1999999999999993</v>
      </c>
      <c r="G208" s="13">
        <v>3.02</v>
      </c>
      <c r="H208">
        <f t="shared" si="11"/>
        <v>195.15600000000001</v>
      </c>
      <c r="I208">
        <f t="shared" si="9"/>
        <v>0</v>
      </c>
      <c r="J208">
        <f t="shared" si="10"/>
        <v>0</v>
      </c>
    </row>
    <row r="209" spans="1:10" x14ac:dyDescent="0.25">
      <c r="A209" s="6">
        <v>44768</v>
      </c>
      <c r="B209" s="7">
        <v>0.19862268518518519</v>
      </c>
      <c r="C209" s="7">
        <v>0.86047453703703702</v>
      </c>
      <c r="D209" s="8">
        <v>0</v>
      </c>
      <c r="E209" s="8">
        <v>16.16</v>
      </c>
      <c r="F209" s="8">
        <v>8.9499999999999993</v>
      </c>
      <c r="G209" s="9">
        <v>2.09</v>
      </c>
      <c r="H209">
        <f t="shared" si="11"/>
        <v>200.226</v>
      </c>
      <c r="I209">
        <f t="shared" si="9"/>
        <v>0</v>
      </c>
      <c r="J209">
        <f t="shared" si="10"/>
        <v>0</v>
      </c>
    </row>
    <row r="210" spans="1:10" x14ac:dyDescent="0.25">
      <c r="A210" s="10">
        <v>44769</v>
      </c>
      <c r="B210" s="11">
        <v>0.19965277777777779</v>
      </c>
      <c r="C210" s="11">
        <v>0.85942129629629627</v>
      </c>
      <c r="D210" s="12">
        <v>0</v>
      </c>
      <c r="E210" s="12">
        <v>17.82</v>
      </c>
      <c r="F210" s="12">
        <v>10.94</v>
      </c>
      <c r="G210" s="13">
        <v>3.66</v>
      </c>
      <c r="H210">
        <f t="shared" si="11"/>
        <v>205.31800000000001</v>
      </c>
      <c r="I210">
        <f t="shared" si="9"/>
        <v>0</v>
      </c>
      <c r="J210">
        <f t="shared" si="10"/>
        <v>0</v>
      </c>
    </row>
    <row r="211" spans="1:10" x14ac:dyDescent="0.25">
      <c r="A211" s="6">
        <v>44770</v>
      </c>
      <c r="B211" s="7">
        <v>0.20069444444444445</v>
      </c>
      <c r="C211" s="7">
        <v>0.85835648148148147</v>
      </c>
      <c r="D211" s="8">
        <v>0</v>
      </c>
      <c r="E211" s="8">
        <v>19.23</v>
      </c>
      <c r="F211" s="8">
        <v>10.19</v>
      </c>
      <c r="G211" s="9">
        <v>2.0299999999999998</v>
      </c>
      <c r="H211">
        <f t="shared" si="11"/>
        <v>211.44</v>
      </c>
      <c r="I211">
        <f t="shared" si="9"/>
        <v>0</v>
      </c>
      <c r="J211">
        <f t="shared" si="10"/>
        <v>0</v>
      </c>
    </row>
    <row r="212" spans="1:10" x14ac:dyDescent="0.25">
      <c r="A212" s="10">
        <v>44771</v>
      </c>
      <c r="B212" s="11">
        <v>0.20175925925925925</v>
      </c>
      <c r="C212" s="11">
        <v>0.85725694444444445</v>
      </c>
      <c r="D212" s="12">
        <v>0</v>
      </c>
      <c r="E212" s="12">
        <v>18.59</v>
      </c>
      <c r="F212" s="12">
        <v>10.29</v>
      </c>
      <c r="G212" s="13">
        <v>1.74</v>
      </c>
      <c r="H212">
        <f t="shared" si="11"/>
        <v>217.93199999999999</v>
      </c>
      <c r="I212">
        <f t="shared" si="9"/>
        <v>0</v>
      </c>
      <c r="J212">
        <f t="shared" si="10"/>
        <v>0</v>
      </c>
    </row>
    <row r="213" spans="1:10" x14ac:dyDescent="0.25">
      <c r="A213" s="6">
        <v>44772</v>
      </c>
      <c r="B213" s="7">
        <v>0.20282407407407407</v>
      </c>
      <c r="C213" s="7">
        <v>0.85614583333333338</v>
      </c>
      <c r="D213" s="8">
        <v>1</v>
      </c>
      <c r="E213" s="8">
        <v>14.2</v>
      </c>
      <c r="F213" s="8">
        <v>10.59</v>
      </c>
      <c r="G213" s="9">
        <v>4.04</v>
      </c>
      <c r="H213">
        <f t="shared" si="11"/>
        <v>222.364</v>
      </c>
      <c r="I213">
        <f t="shared" si="9"/>
        <v>0</v>
      </c>
      <c r="J213">
        <f t="shared" si="10"/>
        <v>0</v>
      </c>
    </row>
    <row r="214" spans="1:10" x14ac:dyDescent="0.25">
      <c r="A214" s="10">
        <v>44773</v>
      </c>
      <c r="B214" s="11">
        <v>0.2038888888888889</v>
      </c>
      <c r="C214" s="11">
        <v>0.85499999999999998</v>
      </c>
      <c r="D214" s="12">
        <v>1</v>
      </c>
      <c r="E214" s="12">
        <v>13.79</v>
      </c>
      <c r="F214" s="12">
        <v>8.49</v>
      </c>
      <c r="G214" s="13">
        <v>2.38</v>
      </c>
      <c r="H214">
        <f t="shared" si="11"/>
        <v>226.77600000000001</v>
      </c>
      <c r="I214">
        <f t="shared" si="9"/>
        <v>0</v>
      </c>
      <c r="J214">
        <f t="shared" si="10"/>
        <v>0</v>
      </c>
    </row>
    <row r="215" spans="1:10" x14ac:dyDescent="0.25">
      <c r="A215" s="6">
        <v>44774</v>
      </c>
      <c r="B215" s="7">
        <v>0.20497685185185185</v>
      </c>
      <c r="C215" s="7">
        <v>0.85384259259259254</v>
      </c>
      <c r="D215" s="8">
        <v>1</v>
      </c>
      <c r="E215" s="8">
        <v>15.96</v>
      </c>
      <c r="F215" s="8">
        <v>9.48</v>
      </c>
      <c r="G215" s="9">
        <v>1.78</v>
      </c>
      <c r="H215">
        <f t="shared" si="11"/>
        <v>232.58</v>
      </c>
      <c r="I215">
        <f t="shared" si="9"/>
        <v>0</v>
      </c>
      <c r="J215">
        <f t="shared" si="10"/>
        <v>0</v>
      </c>
    </row>
    <row r="216" spans="1:10" x14ac:dyDescent="0.25">
      <c r="A216" s="10">
        <v>44775</v>
      </c>
      <c r="B216" s="11">
        <v>0.20606481481481481</v>
      </c>
      <c r="C216" s="11">
        <v>0.85266203703703702</v>
      </c>
      <c r="D216" s="12">
        <v>0</v>
      </c>
      <c r="E216" s="12">
        <v>18.86</v>
      </c>
      <c r="F216" s="12">
        <v>12.56</v>
      </c>
      <c r="G216" s="13">
        <v>4.93</v>
      </c>
      <c r="H216">
        <f t="shared" si="11"/>
        <v>237.69800000000001</v>
      </c>
      <c r="I216">
        <f t="shared" si="9"/>
        <v>0</v>
      </c>
      <c r="J216">
        <f t="shared" si="10"/>
        <v>0</v>
      </c>
    </row>
    <row r="217" spans="1:10" x14ac:dyDescent="0.25">
      <c r="A217" s="6">
        <v>44776</v>
      </c>
      <c r="B217" s="7">
        <v>0.20716435185185186</v>
      </c>
      <c r="C217" s="7">
        <v>0.85145833333333332</v>
      </c>
      <c r="D217" s="8">
        <v>0</v>
      </c>
      <c r="E217" s="8">
        <v>18.12</v>
      </c>
      <c r="F217" s="8">
        <v>9.15</v>
      </c>
      <c r="G217" s="9">
        <v>2.87</v>
      </c>
      <c r="H217">
        <f t="shared" si="11"/>
        <v>242.148</v>
      </c>
      <c r="I217">
        <f t="shared" si="9"/>
        <v>0</v>
      </c>
      <c r="J217">
        <f t="shared" si="10"/>
        <v>0</v>
      </c>
    </row>
    <row r="218" spans="1:10" x14ac:dyDescent="0.25">
      <c r="A218" s="10">
        <v>44777</v>
      </c>
      <c r="B218" s="11">
        <v>0.20826388888888889</v>
      </c>
      <c r="C218" s="11">
        <v>0.85023148148148153</v>
      </c>
      <c r="D218" s="12">
        <v>0</v>
      </c>
      <c r="E218" s="12">
        <v>19.88</v>
      </c>
      <c r="F218" s="12">
        <v>10.14</v>
      </c>
      <c r="G218" s="13">
        <v>1.94</v>
      </c>
      <c r="H218">
        <f t="shared" si="11"/>
        <v>248.32</v>
      </c>
      <c r="I218">
        <f t="shared" si="9"/>
        <v>0</v>
      </c>
      <c r="J218">
        <f t="shared" si="10"/>
        <v>0</v>
      </c>
    </row>
    <row r="219" spans="1:10" x14ac:dyDescent="0.25">
      <c r="A219" s="6">
        <v>44778</v>
      </c>
      <c r="B219" s="7">
        <v>0.20937500000000001</v>
      </c>
      <c r="C219" s="7">
        <v>0.84898148148148145</v>
      </c>
      <c r="D219" s="8">
        <v>1</v>
      </c>
      <c r="E219" s="8">
        <v>12.71</v>
      </c>
      <c r="F219" s="8">
        <v>8.08</v>
      </c>
      <c r="G219" s="9">
        <v>2.89</v>
      </c>
      <c r="H219">
        <f t="shared" si="11"/>
        <v>251.89400000000001</v>
      </c>
      <c r="I219">
        <f t="shared" si="9"/>
        <v>0</v>
      </c>
      <c r="J219">
        <f t="shared" si="10"/>
        <v>0</v>
      </c>
    </row>
    <row r="220" spans="1:10" x14ac:dyDescent="0.25">
      <c r="A220" s="10">
        <v>44779</v>
      </c>
      <c r="B220" s="11">
        <v>0.21048611111111112</v>
      </c>
      <c r="C220" s="11">
        <v>0.84771990740740744</v>
      </c>
      <c r="D220" s="12">
        <v>1</v>
      </c>
      <c r="E220" s="12">
        <v>11.46</v>
      </c>
      <c r="F220" s="12">
        <v>7.01</v>
      </c>
      <c r="G220" s="13">
        <v>2.95</v>
      </c>
      <c r="H220">
        <f t="shared" si="11"/>
        <v>254.55200000000002</v>
      </c>
      <c r="I220">
        <f t="shared" si="9"/>
        <v>0</v>
      </c>
      <c r="J220">
        <f t="shared" si="10"/>
        <v>0</v>
      </c>
    </row>
    <row r="221" spans="1:10" x14ac:dyDescent="0.25">
      <c r="A221" s="6">
        <v>44780</v>
      </c>
      <c r="B221" s="7">
        <v>0.21159722222222221</v>
      </c>
      <c r="C221" s="7">
        <v>0.84644675925925927</v>
      </c>
      <c r="D221" s="8">
        <v>0</v>
      </c>
      <c r="E221" s="8">
        <v>18.38</v>
      </c>
      <c r="F221" s="8">
        <v>11.16</v>
      </c>
      <c r="G221" s="9">
        <v>3.69</v>
      </c>
      <c r="H221">
        <f t="shared" si="11"/>
        <v>259.79000000000002</v>
      </c>
      <c r="I221">
        <f t="shared" si="9"/>
        <v>0</v>
      </c>
      <c r="J221">
        <f t="shared" si="10"/>
        <v>0</v>
      </c>
    </row>
    <row r="222" spans="1:10" x14ac:dyDescent="0.25">
      <c r="A222" s="10">
        <v>44781</v>
      </c>
      <c r="B222" s="11">
        <v>0.2127199074074074</v>
      </c>
      <c r="C222" s="11">
        <v>0.84513888888888888</v>
      </c>
      <c r="D222" s="12">
        <v>0</v>
      </c>
      <c r="E222" s="12">
        <v>15.21</v>
      </c>
      <c r="F222" s="12">
        <v>6.71</v>
      </c>
      <c r="G222" s="13">
        <v>3.21</v>
      </c>
      <c r="H222">
        <f t="shared" si="11"/>
        <v>261.94800000000004</v>
      </c>
      <c r="I222">
        <f t="shared" si="9"/>
        <v>0</v>
      </c>
      <c r="J222">
        <f t="shared" si="10"/>
        <v>0</v>
      </c>
    </row>
    <row r="223" spans="1:10" x14ac:dyDescent="0.25">
      <c r="A223" s="6">
        <v>44782</v>
      </c>
      <c r="B223" s="7">
        <v>0.21384259259259258</v>
      </c>
      <c r="C223" s="7">
        <v>0.84381944444444446</v>
      </c>
      <c r="D223" s="8">
        <v>0</v>
      </c>
      <c r="E223" s="8">
        <v>19.329999999999998</v>
      </c>
      <c r="F223" s="8">
        <v>10.19</v>
      </c>
      <c r="G223" s="9">
        <v>1.54</v>
      </c>
      <c r="H223">
        <f t="shared" si="11"/>
        <v>268.56</v>
      </c>
      <c r="I223">
        <f t="shared" si="9"/>
        <v>0</v>
      </c>
      <c r="J223">
        <f t="shared" si="10"/>
        <v>0</v>
      </c>
    </row>
    <row r="224" spans="1:10" x14ac:dyDescent="0.25">
      <c r="A224" s="10">
        <v>44783</v>
      </c>
      <c r="B224" s="11">
        <v>0.21497685185185186</v>
      </c>
      <c r="C224" s="11">
        <v>0.84248842592592588</v>
      </c>
      <c r="D224" s="12">
        <v>0</v>
      </c>
      <c r="E224" s="12">
        <v>19.829999999999998</v>
      </c>
      <c r="F224" s="12">
        <v>12.94</v>
      </c>
      <c r="G224" s="13">
        <v>3.94</v>
      </c>
      <c r="H224">
        <f t="shared" si="11"/>
        <v>274.97199999999998</v>
      </c>
      <c r="I224">
        <f t="shared" si="9"/>
        <v>0</v>
      </c>
      <c r="J224">
        <f t="shared" si="10"/>
        <v>0</v>
      </c>
    </row>
    <row r="225" spans="1:10" x14ac:dyDescent="0.25">
      <c r="A225" s="6">
        <v>44784</v>
      </c>
      <c r="B225" s="7">
        <v>0.21611111111111111</v>
      </c>
      <c r="C225" s="7">
        <v>0.84114583333333337</v>
      </c>
      <c r="D225" s="8">
        <v>0</v>
      </c>
      <c r="E225" s="8">
        <v>15.68</v>
      </c>
      <c r="F225" s="8">
        <v>6.85</v>
      </c>
      <c r="G225" s="9">
        <v>2.4900000000000002</v>
      </c>
      <c r="H225">
        <f t="shared" si="11"/>
        <v>277.96199999999999</v>
      </c>
      <c r="I225">
        <f t="shared" si="9"/>
        <v>0</v>
      </c>
      <c r="J225">
        <f t="shared" si="10"/>
        <v>0</v>
      </c>
    </row>
    <row r="226" spans="1:10" x14ac:dyDescent="0.25">
      <c r="A226" s="10">
        <v>44785</v>
      </c>
      <c r="B226" s="11">
        <v>0.21724537037037037</v>
      </c>
      <c r="C226" s="11">
        <v>0.83978009259259256</v>
      </c>
      <c r="D226" s="12">
        <v>1</v>
      </c>
      <c r="E226" s="12">
        <v>10.43</v>
      </c>
      <c r="F226" s="12">
        <v>5.19</v>
      </c>
      <c r="G226" s="13">
        <v>2.76</v>
      </c>
      <c r="H226">
        <f t="shared" si="11"/>
        <v>279.35399999999998</v>
      </c>
      <c r="I226">
        <f t="shared" si="9"/>
        <v>0</v>
      </c>
      <c r="J226">
        <f t="shared" si="10"/>
        <v>0</v>
      </c>
    </row>
    <row r="227" spans="1:10" x14ac:dyDescent="0.25">
      <c r="A227" s="6">
        <v>44786</v>
      </c>
      <c r="B227" s="7">
        <v>0.21837962962962962</v>
      </c>
      <c r="C227" s="7">
        <v>0.83839120370370368</v>
      </c>
      <c r="D227" s="8">
        <v>0</v>
      </c>
      <c r="E227" s="8">
        <v>17.89</v>
      </c>
      <c r="F227" s="8">
        <v>7.23</v>
      </c>
      <c r="G227" s="9">
        <v>0.49</v>
      </c>
      <c r="H227">
        <f t="shared" si="11"/>
        <v>284.64799999999997</v>
      </c>
      <c r="I227">
        <f t="shared" si="9"/>
        <v>0</v>
      </c>
      <c r="J227">
        <f t="shared" si="10"/>
        <v>0</v>
      </c>
    </row>
    <row r="228" spans="1:10" x14ac:dyDescent="0.25">
      <c r="A228" s="10">
        <v>44787</v>
      </c>
      <c r="B228" s="11">
        <v>0.21952546296296296</v>
      </c>
      <c r="C228" s="11">
        <v>0.8370023148148148</v>
      </c>
      <c r="D228" s="12">
        <v>0</v>
      </c>
      <c r="E228" s="12">
        <v>17.03</v>
      </c>
      <c r="F228" s="12">
        <v>9.32</v>
      </c>
      <c r="G228" s="13">
        <v>3.67</v>
      </c>
      <c r="H228">
        <f t="shared" si="11"/>
        <v>288.43399999999997</v>
      </c>
      <c r="I228">
        <f t="shared" si="9"/>
        <v>0</v>
      </c>
      <c r="J228">
        <f t="shared" si="10"/>
        <v>0</v>
      </c>
    </row>
    <row r="229" spans="1:10" x14ac:dyDescent="0.25">
      <c r="A229" s="6">
        <v>44788</v>
      </c>
      <c r="B229" s="7">
        <v>0.22065972222222222</v>
      </c>
      <c r="C229" s="7">
        <v>0.83559027777777772</v>
      </c>
      <c r="D229" s="8">
        <v>0</v>
      </c>
      <c r="E229" s="8">
        <v>19.920000000000002</v>
      </c>
      <c r="F229" s="8">
        <v>12.25</v>
      </c>
      <c r="G229" s="9">
        <v>1.77</v>
      </c>
      <c r="H229">
        <f t="shared" si="11"/>
        <v>296.464</v>
      </c>
      <c r="I229">
        <f t="shared" si="9"/>
        <v>0</v>
      </c>
      <c r="J229">
        <f t="shared" si="10"/>
        <v>0</v>
      </c>
    </row>
    <row r="230" spans="1:10" x14ac:dyDescent="0.25">
      <c r="A230" s="10">
        <v>44789</v>
      </c>
      <c r="B230" s="11">
        <v>0.22180555555555556</v>
      </c>
      <c r="C230" s="11">
        <v>0.83416666666666661</v>
      </c>
      <c r="D230" s="12">
        <v>0</v>
      </c>
      <c r="E230" s="12">
        <v>16.059999999999999</v>
      </c>
      <c r="F230" s="12">
        <v>7.46</v>
      </c>
      <c r="G230" s="13">
        <v>2.1800000000000002</v>
      </c>
      <c r="H230">
        <f t="shared" si="11"/>
        <v>300.25200000000001</v>
      </c>
      <c r="I230">
        <f t="shared" si="9"/>
        <v>0</v>
      </c>
      <c r="J230">
        <f t="shared" si="10"/>
        <v>0</v>
      </c>
    </row>
    <row r="231" spans="1:10" x14ac:dyDescent="0.25">
      <c r="A231" s="6">
        <v>44790</v>
      </c>
      <c r="B231" s="7">
        <v>0.22295138888888888</v>
      </c>
      <c r="C231" s="7">
        <v>0.83273148148148146</v>
      </c>
      <c r="D231" s="8">
        <v>0</v>
      </c>
      <c r="E231" s="8">
        <v>18.84</v>
      </c>
      <c r="F231" s="8">
        <v>10.64</v>
      </c>
      <c r="G231" s="9">
        <v>3.51</v>
      </c>
      <c r="H231">
        <f t="shared" si="11"/>
        <v>305.25400000000002</v>
      </c>
      <c r="I231">
        <f t="shared" si="9"/>
        <v>0</v>
      </c>
      <c r="J231">
        <f t="shared" si="10"/>
        <v>0</v>
      </c>
    </row>
    <row r="232" spans="1:10" x14ac:dyDescent="0.25">
      <c r="A232" s="10">
        <v>44791</v>
      </c>
      <c r="B232" s="11">
        <v>0.22409722222222223</v>
      </c>
      <c r="C232" s="11">
        <v>0.83127314814814812</v>
      </c>
      <c r="D232" s="12">
        <v>0</v>
      </c>
      <c r="E232" s="12">
        <v>18.97</v>
      </c>
      <c r="F232" s="12">
        <v>10.97</v>
      </c>
      <c r="G232" s="13">
        <v>3.09</v>
      </c>
      <c r="H232">
        <f t="shared" si="11"/>
        <v>310.94000000000005</v>
      </c>
      <c r="I232">
        <f t="shared" si="9"/>
        <v>0</v>
      </c>
      <c r="J232">
        <f t="shared" si="10"/>
        <v>0</v>
      </c>
    </row>
    <row r="233" spans="1:10" x14ac:dyDescent="0.25">
      <c r="A233" s="6">
        <v>44792</v>
      </c>
      <c r="B233" s="7">
        <v>0.22524305555555554</v>
      </c>
      <c r="C233" s="7">
        <v>0.82981481481481478</v>
      </c>
      <c r="D233" s="8">
        <v>1</v>
      </c>
      <c r="E233" s="8">
        <v>11.99</v>
      </c>
      <c r="F233" s="8">
        <v>7.68</v>
      </c>
      <c r="G233" s="9">
        <v>3.68</v>
      </c>
      <c r="H233">
        <f t="shared" si="11"/>
        <v>313.40400000000005</v>
      </c>
      <c r="I233">
        <f t="shared" si="9"/>
        <v>0</v>
      </c>
      <c r="J233">
        <f t="shared" si="10"/>
        <v>0</v>
      </c>
    </row>
    <row r="234" spans="1:10" x14ac:dyDescent="0.25">
      <c r="A234" s="10">
        <v>44793</v>
      </c>
      <c r="B234" s="11">
        <v>0.22638888888888889</v>
      </c>
      <c r="C234" s="11">
        <v>0.8283449074074074</v>
      </c>
      <c r="D234" s="12">
        <v>0</v>
      </c>
      <c r="E234" s="12">
        <v>19.649999999999999</v>
      </c>
      <c r="F234" s="12">
        <v>11.94</v>
      </c>
      <c r="G234" s="13">
        <v>3.66</v>
      </c>
      <c r="H234">
        <f t="shared" si="11"/>
        <v>319.29600000000005</v>
      </c>
      <c r="I234">
        <f t="shared" si="9"/>
        <v>0</v>
      </c>
      <c r="J234">
        <f t="shared" si="10"/>
        <v>0</v>
      </c>
    </row>
    <row r="235" spans="1:10" x14ac:dyDescent="0.25">
      <c r="A235" s="6">
        <v>44794</v>
      </c>
      <c r="B235" s="7">
        <v>0.22753472222222224</v>
      </c>
      <c r="C235" s="7">
        <v>0.82685185185185184</v>
      </c>
      <c r="D235" s="8">
        <v>1</v>
      </c>
      <c r="E235" s="8">
        <v>13.19</v>
      </c>
      <c r="F235" s="8">
        <v>8.34</v>
      </c>
      <c r="G235" s="9">
        <v>2.4</v>
      </c>
      <c r="H235">
        <f t="shared" si="11"/>
        <v>323.5680000000001</v>
      </c>
      <c r="I235">
        <f t="shared" si="9"/>
        <v>0</v>
      </c>
      <c r="J235">
        <f t="shared" si="10"/>
        <v>0</v>
      </c>
    </row>
    <row r="236" spans="1:10" x14ac:dyDescent="0.25">
      <c r="A236" s="10">
        <v>44795</v>
      </c>
      <c r="B236" s="11">
        <v>0.22868055555555555</v>
      </c>
      <c r="C236" s="11">
        <v>0.82535879629629627</v>
      </c>
      <c r="D236" s="12">
        <v>1</v>
      </c>
      <c r="E236" s="12">
        <v>14.17</v>
      </c>
      <c r="F236" s="12">
        <v>9.9700000000000006</v>
      </c>
      <c r="G236" s="13">
        <v>3.16</v>
      </c>
      <c r="H236">
        <f t="shared" si="11"/>
        <v>328.38400000000007</v>
      </c>
      <c r="I236">
        <f t="shared" si="9"/>
        <v>0</v>
      </c>
      <c r="J236">
        <f t="shared" si="10"/>
        <v>0</v>
      </c>
    </row>
    <row r="237" spans="1:10" x14ac:dyDescent="0.25">
      <c r="A237" s="6">
        <v>44796</v>
      </c>
      <c r="B237" s="7">
        <v>0.2298263888888889</v>
      </c>
      <c r="C237" s="7">
        <v>0.82385416666666667</v>
      </c>
      <c r="D237" s="8">
        <v>1</v>
      </c>
      <c r="E237" s="8">
        <v>12.08</v>
      </c>
      <c r="F237" s="8">
        <v>6.96</v>
      </c>
      <c r="G237" s="9">
        <v>2.23</v>
      </c>
      <c r="H237">
        <f t="shared" si="11"/>
        <v>331.72200000000004</v>
      </c>
      <c r="I237">
        <f t="shared" si="9"/>
        <v>0</v>
      </c>
      <c r="J237">
        <f t="shared" si="10"/>
        <v>0</v>
      </c>
    </row>
    <row r="238" spans="1:10" x14ac:dyDescent="0.25">
      <c r="A238" s="10">
        <v>44797</v>
      </c>
      <c r="B238" s="11">
        <v>0.23097222222222222</v>
      </c>
      <c r="C238" s="11">
        <v>0.82233796296296291</v>
      </c>
      <c r="D238" s="12">
        <v>0</v>
      </c>
      <c r="E238" s="12">
        <v>18.739999999999998</v>
      </c>
      <c r="F238" s="12">
        <v>10.34</v>
      </c>
      <c r="G238" s="13">
        <v>2.92</v>
      </c>
      <c r="H238">
        <f t="shared" si="11"/>
        <v>337.07400000000001</v>
      </c>
      <c r="I238">
        <f t="shared" si="9"/>
        <v>0</v>
      </c>
      <c r="J238">
        <f t="shared" si="10"/>
        <v>0</v>
      </c>
    </row>
    <row r="239" spans="1:10" x14ac:dyDescent="0.25">
      <c r="A239" s="6">
        <v>44798</v>
      </c>
      <c r="B239" s="7">
        <v>0.23211805555555556</v>
      </c>
      <c r="C239" s="7">
        <v>0.82081018518518523</v>
      </c>
      <c r="D239" s="8">
        <v>0</v>
      </c>
      <c r="E239" s="8">
        <v>17.95</v>
      </c>
      <c r="F239" s="8">
        <v>8.23</v>
      </c>
      <c r="G239" s="9">
        <v>0.78</v>
      </c>
      <c r="H239">
        <f t="shared" si="11"/>
        <v>342.87800000000004</v>
      </c>
      <c r="I239">
        <f t="shared" si="9"/>
        <v>0</v>
      </c>
      <c r="J239">
        <f t="shared" si="10"/>
        <v>0</v>
      </c>
    </row>
    <row r="240" spans="1:10" x14ac:dyDescent="0.25">
      <c r="A240" s="10">
        <v>44799</v>
      </c>
      <c r="B240" s="11">
        <v>0.23326388888888888</v>
      </c>
      <c r="C240" s="11">
        <v>0.81927083333333328</v>
      </c>
      <c r="D240" s="12">
        <v>0</v>
      </c>
      <c r="E240" s="12">
        <v>16.829999999999998</v>
      </c>
      <c r="F240" s="12">
        <v>8.83</v>
      </c>
      <c r="G240" s="13">
        <v>3.07</v>
      </c>
      <c r="H240">
        <f t="shared" si="11"/>
        <v>346.87200000000007</v>
      </c>
      <c r="I240">
        <f t="shared" si="9"/>
        <v>0</v>
      </c>
      <c r="J240">
        <f t="shared" si="10"/>
        <v>0</v>
      </c>
    </row>
    <row r="241" spans="1:10" x14ac:dyDescent="0.25">
      <c r="A241" s="6">
        <v>44800</v>
      </c>
      <c r="B241" s="7">
        <v>0.23440972222222223</v>
      </c>
      <c r="C241" s="7">
        <v>0.81773148148148145</v>
      </c>
      <c r="D241" s="8">
        <v>0</v>
      </c>
      <c r="E241" s="8">
        <v>17.09</v>
      </c>
      <c r="F241" s="8">
        <v>8.6300000000000008</v>
      </c>
      <c r="G241" s="9">
        <v>0.64</v>
      </c>
      <c r="H241">
        <f t="shared" si="11"/>
        <v>353.13600000000008</v>
      </c>
      <c r="I241">
        <f t="shared" si="9"/>
        <v>0</v>
      </c>
      <c r="J241">
        <f t="shared" si="10"/>
        <v>0</v>
      </c>
    </row>
    <row r="242" spans="1:10" x14ac:dyDescent="0.25">
      <c r="A242" s="10">
        <v>44801</v>
      </c>
      <c r="B242" s="11">
        <v>0.23555555555555555</v>
      </c>
      <c r="C242" s="11">
        <v>0.81618055555555558</v>
      </c>
      <c r="D242" s="12">
        <v>0</v>
      </c>
      <c r="E242" s="12">
        <v>18.010000000000002</v>
      </c>
      <c r="F242" s="12">
        <v>10.67</v>
      </c>
      <c r="G242" s="13">
        <v>2.95</v>
      </c>
      <c r="H242">
        <f t="shared" si="11"/>
        <v>358.72200000000009</v>
      </c>
      <c r="I242">
        <f t="shared" si="9"/>
        <v>0</v>
      </c>
      <c r="J242">
        <f t="shared" si="10"/>
        <v>0</v>
      </c>
    </row>
    <row r="243" spans="1:10" x14ac:dyDescent="0.25">
      <c r="A243" s="6">
        <v>44802</v>
      </c>
      <c r="B243" s="7">
        <v>0.23670138888888889</v>
      </c>
      <c r="C243" s="7">
        <v>0.81461805555555555</v>
      </c>
      <c r="D243" s="8">
        <v>0</v>
      </c>
      <c r="E243" s="8">
        <v>19.48</v>
      </c>
      <c r="F243" s="8">
        <v>12.16</v>
      </c>
      <c r="G243" s="9">
        <v>3.2</v>
      </c>
      <c r="H243">
        <f t="shared" si="11"/>
        <v>365.25000000000011</v>
      </c>
      <c r="I243">
        <f t="shared" si="9"/>
        <v>0</v>
      </c>
      <c r="J243">
        <f t="shared" si="10"/>
        <v>0</v>
      </c>
    </row>
    <row r="244" spans="1:10" x14ac:dyDescent="0.25">
      <c r="A244" s="10">
        <v>44803</v>
      </c>
      <c r="B244" s="11">
        <v>0.23784722222222221</v>
      </c>
      <c r="C244" s="11">
        <v>0.81304398148148149</v>
      </c>
      <c r="D244" s="12">
        <v>0</v>
      </c>
      <c r="E244" s="12">
        <v>18.11</v>
      </c>
      <c r="F244" s="12">
        <v>11.38</v>
      </c>
      <c r="G244" s="13">
        <v>2.91</v>
      </c>
      <c r="H244">
        <f t="shared" si="11"/>
        <v>371.44400000000007</v>
      </c>
      <c r="I244">
        <f t="shared" si="9"/>
        <v>0</v>
      </c>
      <c r="J244">
        <f t="shared" si="10"/>
        <v>0</v>
      </c>
    </row>
    <row r="245" spans="1:10" x14ac:dyDescent="0.25">
      <c r="A245" s="6">
        <v>44804</v>
      </c>
      <c r="B245" s="7">
        <v>0.23899305555555556</v>
      </c>
      <c r="C245" s="7">
        <v>0.81146990740740743</v>
      </c>
      <c r="D245" s="8">
        <v>0</v>
      </c>
      <c r="E245" s="8">
        <v>17.559999999999999</v>
      </c>
      <c r="F245" s="8">
        <v>9.49</v>
      </c>
      <c r="G245" s="9">
        <v>0.94</v>
      </c>
      <c r="H245">
        <f t="shared" si="11"/>
        <v>378.09600000000006</v>
      </c>
      <c r="I245">
        <f t="shared" si="9"/>
        <v>0</v>
      </c>
      <c r="J245">
        <f t="shared" si="10"/>
        <v>0</v>
      </c>
    </row>
    <row r="246" spans="1:10" x14ac:dyDescent="0.25">
      <c r="A246" s="10">
        <v>44805</v>
      </c>
      <c r="B246" s="11">
        <v>0.2401388888888889</v>
      </c>
      <c r="C246" s="11">
        <v>0.80989583333333337</v>
      </c>
      <c r="D246" s="12">
        <v>0</v>
      </c>
      <c r="E246" s="12">
        <v>16.809999999999999</v>
      </c>
      <c r="F246" s="12">
        <v>9.4600000000000009</v>
      </c>
      <c r="G246" s="13">
        <v>2.19</v>
      </c>
      <c r="H246">
        <f t="shared" si="11"/>
        <v>383.47400000000005</v>
      </c>
      <c r="I246">
        <f t="shared" si="9"/>
        <v>0</v>
      </c>
      <c r="J246">
        <f t="shared" si="10"/>
        <v>0</v>
      </c>
    </row>
    <row r="247" spans="1:10" x14ac:dyDescent="0.25">
      <c r="A247" s="6">
        <v>44806</v>
      </c>
      <c r="B247" s="7">
        <v>0.24127314814814815</v>
      </c>
      <c r="C247" s="7">
        <v>0.80829861111111112</v>
      </c>
      <c r="D247" s="8">
        <v>0</v>
      </c>
      <c r="E247" s="8">
        <v>15.05</v>
      </c>
      <c r="F247" s="8">
        <v>9.31</v>
      </c>
      <c r="G247" s="9">
        <v>3.95</v>
      </c>
      <c r="H247">
        <f t="shared" si="11"/>
        <v>386.97200000000004</v>
      </c>
      <c r="I247">
        <f t="shared" si="9"/>
        <v>0</v>
      </c>
      <c r="J247">
        <f t="shared" si="10"/>
        <v>0</v>
      </c>
    </row>
    <row r="248" spans="1:10" x14ac:dyDescent="0.25">
      <c r="A248" s="10">
        <v>44807</v>
      </c>
      <c r="B248" s="11">
        <v>0.24241898148148147</v>
      </c>
      <c r="C248" s="11">
        <v>0.80671296296296291</v>
      </c>
      <c r="D248" s="12">
        <v>0</v>
      </c>
      <c r="E248" s="12">
        <v>14.3</v>
      </c>
      <c r="F248" s="12">
        <v>8.69</v>
      </c>
      <c r="G248" s="13">
        <v>4.6900000000000004</v>
      </c>
      <c r="H248">
        <f t="shared" si="11"/>
        <v>389.23400000000004</v>
      </c>
      <c r="I248">
        <f t="shared" si="9"/>
        <v>0</v>
      </c>
      <c r="J248">
        <f t="shared" si="10"/>
        <v>0</v>
      </c>
    </row>
    <row r="249" spans="1:10" x14ac:dyDescent="0.25">
      <c r="A249" s="6">
        <v>44808</v>
      </c>
      <c r="B249" s="7">
        <v>0.24356481481481482</v>
      </c>
      <c r="C249" s="7">
        <v>0.80510416666666662</v>
      </c>
      <c r="D249" s="8">
        <v>0</v>
      </c>
      <c r="E249" s="8">
        <v>19.399999999999999</v>
      </c>
      <c r="F249" s="8">
        <v>10.84</v>
      </c>
      <c r="G249" s="9">
        <v>0.84</v>
      </c>
      <c r="H249">
        <f t="shared" si="11"/>
        <v>397.06600000000009</v>
      </c>
      <c r="I249">
        <f t="shared" si="9"/>
        <v>0</v>
      </c>
      <c r="J249">
        <f t="shared" si="10"/>
        <v>0</v>
      </c>
    </row>
    <row r="250" spans="1:10" x14ac:dyDescent="0.25">
      <c r="A250" s="10">
        <v>44809</v>
      </c>
      <c r="B250" s="11">
        <v>0.24469907407407407</v>
      </c>
      <c r="C250" s="11">
        <v>0.80350694444444448</v>
      </c>
      <c r="D250" s="12">
        <v>1</v>
      </c>
      <c r="E250" s="12">
        <v>14.15</v>
      </c>
      <c r="F250" s="12">
        <v>8.94</v>
      </c>
      <c r="G250" s="13">
        <v>3.18</v>
      </c>
      <c r="H250">
        <f t="shared" si="11"/>
        <v>401.03800000000007</v>
      </c>
      <c r="I250">
        <f t="shared" si="9"/>
        <v>0</v>
      </c>
      <c r="J250">
        <f t="shared" si="10"/>
        <v>0</v>
      </c>
    </row>
    <row r="251" spans="1:10" x14ac:dyDescent="0.25">
      <c r="A251" s="6">
        <v>44810</v>
      </c>
      <c r="B251" s="7">
        <v>0.24584490740740741</v>
      </c>
      <c r="C251" s="7">
        <v>0.80189814814814819</v>
      </c>
      <c r="D251" s="8">
        <v>2</v>
      </c>
      <c r="E251" s="8">
        <v>10.199999999999999</v>
      </c>
      <c r="F251" s="8">
        <v>6.94</v>
      </c>
      <c r="G251" s="9">
        <v>1.89</v>
      </c>
      <c r="H251">
        <f t="shared" si="11"/>
        <v>404.7000000000001</v>
      </c>
      <c r="I251">
        <f t="shared" si="9"/>
        <v>0</v>
      </c>
      <c r="J251">
        <f t="shared" si="10"/>
        <v>0</v>
      </c>
    </row>
    <row r="252" spans="1:10" x14ac:dyDescent="0.25">
      <c r="A252" s="10">
        <v>44811</v>
      </c>
      <c r="B252" s="11">
        <v>0.24699074074074073</v>
      </c>
      <c r="C252" s="11">
        <v>0.80027777777777775</v>
      </c>
      <c r="D252" s="12">
        <v>0</v>
      </c>
      <c r="E252" s="12">
        <v>19.149999999999999</v>
      </c>
      <c r="F252" s="12">
        <v>12.22</v>
      </c>
      <c r="G252" s="13">
        <v>2.98</v>
      </c>
      <c r="H252">
        <f t="shared" si="11"/>
        <v>411.49600000000009</v>
      </c>
      <c r="I252">
        <f t="shared" si="9"/>
        <v>0</v>
      </c>
      <c r="J252">
        <f t="shared" si="10"/>
        <v>0</v>
      </c>
    </row>
    <row r="253" spans="1:10" x14ac:dyDescent="0.25">
      <c r="A253" s="6">
        <v>44812</v>
      </c>
      <c r="B253" s="7">
        <v>0.24812500000000001</v>
      </c>
      <c r="C253" s="7">
        <v>0.79865740740740743</v>
      </c>
      <c r="D253" s="8">
        <v>0</v>
      </c>
      <c r="E253" s="8">
        <v>16.739999999999998</v>
      </c>
      <c r="F253" s="8">
        <v>9.15</v>
      </c>
      <c r="G253" s="9">
        <v>3.48</v>
      </c>
      <c r="H253">
        <f t="shared" si="11"/>
        <v>415.33600000000007</v>
      </c>
      <c r="I253">
        <f t="shared" si="9"/>
        <v>0</v>
      </c>
      <c r="J253">
        <f t="shared" si="10"/>
        <v>0</v>
      </c>
    </row>
    <row r="254" spans="1:10" x14ac:dyDescent="0.25">
      <c r="A254" s="10">
        <v>44813</v>
      </c>
      <c r="B254" s="11">
        <v>0.24927083333333333</v>
      </c>
      <c r="C254" s="11">
        <v>0.79703703703703699</v>
      </c>
      <c r="D254" s="12">
        <v>1</v>
      </c>
      <c r="E254" s="12">
        <v>12.97</v>
      </c>
      <c r="F254" s="12">
        <v>7.63</v>
      </c>
      <c r="G254" s="13">
        <v>2.59</v>
      </c>
      <c r="H254">
        <f t="shared" si="11"/>
        <v>418.85000000000008</v>
      </c>
      <c r="I254">
        <f t="shared" si="9"/>
        <v>0</v>
      </c>
      <c r="J254">
        <f t="shared" si="10"/>
        <v>0</v>
      </c>
    </row>
    <row r="255" spans="1:10" x14ac:dyDescent="0.25">
      <c r="A255" s="6">
        <v>44814</v>
      </c>
      <c r="B255" s="7">
        <v>0.25041666666666668</v>
      </c>
      <c r="C255" s="7">
        <v>0.79541666666666666</v>
      </c>
      <c r="D255" s="8">
        <v>0</v>
      </c>
      <c r="E255" s="8">
        <v>19.690000000000001</v>
      </c>
      <c r="F255" s="8">
        <v>11.67</v>
      </c>
      <c r="G255" s="9">
        <v>1.86</v>
      </c>
      <c r="H255">
        <f t="shared" si="11"/>
        <v>426.32600000000008</v>
      </c>
      <c r="I255">
        <f t="shared" si="9"/>
        <v>0</v>
      </c>
      <c r="J255">
        <f t="shared" si="10"/>
        <v>0</v>
      </c>
    </row>
    <row r="256" spans="1:10" x14ac:dyDescent="0.25">
      <c r="A256" s="10">
        <v>44815</v>
      </c>
      <c r="B256" s="11">
        <v>0.25155092592592593</v>
      </c>
      <c r="C256" s="11">
        <v>0.79378472222222218</v>
      </c>
      <c r="D256" s="12">
        <v>1</v>
      </c>
      <c r="E256" s="12">
        <v>15.77</v>
      </c>
      <c r="F256" s="12">
        <v>9.66</v>
      </c>
      <c r="G256" s="13">
        <v>0.95</v>
      </c>
      <c r="H256">
        <f t="shared" si="11"/>
        <v>433.1040000000001</v>
      </c>
      <c r="I256">
        <f t="shared" si="9"/>
        <v>0</v>
      </c>
      <c r="J256">
        <f t="shared" si="10"/>
        <v>0</v>
      </c>
    </row>
    <row r="257" spans="1:10" x14ac:dyDescent="0.25">
      <c r="A257" s="6">
        <v>44816</v>
      </c>
      <c r="B257" s="7">
        <v>0.25269675925925927</v>
      </c>
      <c r="C257" s="7">
        <v>0.79215277777777782</v>
      </c>
      <c r="D257" s="8">
        <v>1</v>
      </c>
      <c r="E257" s="8">
        <v>13.48</v>
      </c>
      <c r="F257" s="8">
        <v>8.56</v>
      </c>
      <c r="G257" s="9">
        <v>2.94</v>
      </c>
      <c r="H257">
        <f t="shared" si="11"/>
        <v>437.01200000000011</v>
      </c>
      <c r="I257">
        <f t="shared" si="9"/>
        <v>0</v>
      </c>
      <c r="J257">
        <f t="shared" si="10"/>
        <v>0</v>
      </c>
    </row>
    <row r="258" spans="1:10" x14ac:dyDescent="0.25">
      <c r="A258" s="10">
        <v>44817</v>
      </c>
      <c r="B258" s="11">
        <v>0.25383101851851853</v>
      </c>
      <c r="C258" s="11">
        <v>0.79052083333333334</v>
      </c>
      <c r="D258" s="12">
        <v>1</v>
      </c>
      <c r="E258" s="12">
        <v>14.44</v>
      </c>
      <c r="F258" s="12">
        <v>9.48</v>
      </c>
      <c r="G258" s="13">
        <v>2.84</v>
      </c>
      <c r="H258">
        <f t="shared" si="11"/>
        <v>441.75600000000014</v>
      </c>
      <c r="I258">
        <f t="shared" si="9"/>
        <v>0</v>
      </c>
      <c r="J258">
        <f t="shared" si="10"/>
        <v>0</v>
      </c>
    </row>
    <row r="259" spans="1:10" x14ac:dyDescent="0.25">
      <c r="A259" s="6">
        <v>44818</v>
      </c>
      <c r="B259" s="7">
        <v>0.25497685185185187</v>
      </c>
      <c r="C259" s="7">
        <v>0.78887731481481482</v>
      </c>
      <c r="D259" s="8">
        <v>0</v>
      </c>
      <c r="E259" s="8">
        <v>15.61</v>
      </c>
      <c r="F259" s="8">
        <v>8.7799999999999994</v>
      </c>
      <c r="G259" s="9">
        <v>4.95</v>
      </c>
      <c r="H259">
        <f t="shared" si="11"/>
        <v>443.83000000000015</v>
      </c>
      <c r="I259">
        <f t="shared" ref="I259:I322" si="12">IF(H259&lt;50,1,0)</f>
        <v>0</v>
      </c>
      <c r="J259">
        <f t="shared" ref="J259:J322" si="13">IF(H259&lt;0,1,0)</f>
        <v>0</v>
      </c>
    </row>
    <row r="260" spans="1:10" x14ac:dyDescent="0.25">
      <c r="A260" s="10">
        <v>44819</v>
      </c>
      <c r="B260" s="11">
        <v>0.25612268518518516</v>
      </c>
      <c r="C260" s="11">
        <v>0.78724537037037035</v>
      </c>
      <c r="D260" s="12">
        <v>0</v>
      </c>
      <c r="E260" s="12">
        <v>18</v>
      </c>
      <c r="F260" s="12">
        <v>9.9700000000000006</v>
      </c>
      <c r="G260" s="13">
        <v>3.65</v>
      </c>
      <c r="H260">
        <f t="shared" ref="H260:H323" si="14">H259+(F260*0.8)-G260</f>
        <v>448.15600000000018</v>
      </c>
      <c r="I260">
        <f t="shared" si="12"/>
        <v>0</v>
      </c>
      <c r="J260">
        <f t="shared" si="13"/>
        <v>0</v>
      </c>
    </row>
    <row r="261" spans="1:10" x14ac:dyDescent="0.25">
      <c r="A261" s="6">
        <v>44820</v>
      </c>
      <c r="B261" s="7">
        <v>0.25725694444444447</v>
      </c>
      <c r="C261" s="7">
        <v>0.78560185185185183</v>
      </c>
      <c r="D261" s="8">
        <v>3</v>
      </c>
      <c r="E261" s="8">
        <v>9.7799999999999994</v>
      </c>
      <c r="F261" s="8">
        <v>6.88</v>
      </c>
      <c r="G261" s="9">
        <v>4.9800000000000004</v>
      </c>
      <c r="H261">
        <f t="shared" si="14"/>
        <v>448.68000000000018</v>
      </c>
      <c r="I261">
        <f t="shared" si="12"/>
        <v>0</v>
      </c>
      <c r="J261">
        <f t="shared" si="13"/>
        <v>0</v>
      </c>
    </row>
    <row r="262" spans="1:10" x14ac:dyDescent="0.25">
      <c r="A262" s="10">
        <v>44821</v>
      </c>
      <c r="B262" s="11">
        <v>0.25840277777777776</v>
      </c>
      <c r="C262" s="11">
        <v>0.78396990740740746</v>
      </c>
      <c r="D262" s="12">
        <v>1</v>
      </c>
      <c r="E262" s="12">
        <v>13.43</v>
      </c>
      <c r="F262" s="12">
        <v>8.9700000000000006</v>
      </c>
      <c r="G262" s="13">
        <v>3.24</v>
      </c>
      <c r="H262">
        <f t="shared" si="14"/>
        <v>452.61600000000016</v>
      </c>
      <c r="I262">
        <f t="shared" si="12"/>
        <v>0</v>
      </c>
      <c r="J262">
        <f t="shared" si="13"/>
        <v>0</v>
      </c>
    </row>
    <row r="263" spans="1:10" x14ac:dyDescent="0.25">
      <c r="A263" s="6">
        <v>44822</v>
      </c>
      <c r="B263" s="7">
        <v>0.2595486111111111</v>
      </c>
      <c r="C263" s="7">
        <v>0.78232638888888884</v>
      </c>
      <c r="D263" s="8">
        <v>1</v>
      </c>
      <c r="E263" s="8">
        <v>12.57</v>
      </c>
      <c r="F263" s="8">
        <v>8.44</v>
      </c>
      <c r="G263" s="9">
        <v>3.16</v>
      </c>
      <c r="H263">
        <f t="shared" si="14"/>
        <v>456.20800000000014</v>
      </c>
      <c r="I263">
        <f t="shared" si="12"/>
        <v>0</v>
      </c>
      <c r="J263">
        <f t="shared" si="13"/>
        <v>0</v>
      </c>
    </row>
    <row r="264" spans="1:10" x14ac:dyDescent="0.25">
      <c r="A264" s="10">
        <v>44823</v>
      </c>
      <c r="B264" s="11">
        <v>0.26069444444444445</v>
      </c>
      <c r="C264" s="11">
        <v>0.78068287037037032</v>
      </c>
      <c r="D264" s="12">
        <v>2</v>
      </c>
      <c r="E264" s="12">
        <v>10.44</v>
      </c>
      <c r="F264" s="12">
        <v>7.84</v>
      </c>
      <c r="G264" s="13">
        <v>2.48</v>
      </c>
      <c r="H264">
        <f t="shared" si="14"/>
        <v>460.00000000000011</v>
      </c>
      <c r="I264">
        <f t="shared" si="12"/>
        <v>0</v>
      </c>
      <c r="J264">
        <f t="shared" si="13"/>
        <v>0</v>
      </c>
    </row>
    <row r="265" spans="1:10" x14ac:dyDescent="0.25">
      <c r="A265" s="6">
        <v>44824</v>
      </c>
      <c r="B265" s="7">
        <v>0.2618402777777778</v>
      </c>
      <c r="C265" s="7">
        <v>0.7790393518518518</v>
      </c>
      <c r="D265" s="8">
        <v>0</v>
      </c>
      <c r="E265" s="8">
        <v>14.53</v>
      </c>
      <c r="F265" s="8">
        <v>5.65</v>
      </c>
      <c r="G265" s="9">
        <v>2.94</v>
      </c>
      <c r="H265">
        <f t="shared" si="14"/>
        <v>461.5800000000001</v>
      </c>
      <c r="I265">
        <f t="shared" si="12"/>
        <v>0</v>
      </c>
      <c r="J265">
        <f t="shared" si="13"/>
        <v>0</v>
      </c>
    </row>
    <row r="266" spans="1:10" x14ac:dyDescent="0.25">
      <c r="A266" s="10">
        <v>44825</v>
      </c>
      <c r="B266" s="11">
        <v>0.26298611111111109</v>
      </c>
      <c r="C266" s="11">
        <v>0.77740740740740744</v>
      </c>
      <c r="D266" s="12">
        <v>0</v>
      </c>
      <c r="E266" s="12">
        <v>14.84</v>
      </c>
      <c r="F266" s="12">
        <v>5.95</v>
      </c>
      <c r="G266" s="13">
        <v>1.9</v>
      </c>
      <c r="H266">
        <f t="shared" si="14"/>
        <v>464.44000000000011</v>
      </c>
      <c r="I266">
        <f t="shared" si="12"/>
        <v>0</v>
      </c>
      <c r="J266">
        <f t="shared" si="13"/>
        <v>0</v>
      </c>
    </row>
    <row r="267" spans="1:10" x14ac:dyDescent="0.25">
      <c r="A267" s="6">
        <v>44826</v>
      </c>
      <c r="B267" s="7">
        <v>0.26414351851851853</v>
      </c>
      <c r="C267" s="7">
        <v>0.77576388888888892</v>
      </c>
      <c r="D267" s="8">
        <v>0</v>
      </c>
      <c r="E267" s="8">
        <v>16.510000000000002</v>
      </c>
      <c r="F267" s="8">
        <v>7.84</v>
      </c>
      <c r="G267" s="9">
        <v>0.84</v>
      </c>
      <c r="H267">
        <f t="shared" si="14"/>
        <v>469.87200000000013</v>
      </c>
      <c r="I267">
        <f t="shared" si="12"/>
        <v>0</v>
      </c>
      <c r="J267">
        <f t="shared" si="13"/>
        <v>0</v>
      </c>
    </row>
    <row r="268" spans="1:10" x14ac:dyDescent="0.25">
      <c r="A268" s="10">
        <v>44827</v>
      </c>
      <c r="B268" s="11">
        <v>0.26528935185185187</v>
      </c>
      <c r="C268" s="11">
        <v>0.7741203703703704</v>
      </c>
      <c r="D268" s="12">
        <v>0</v>
      </c>
      <c r="E268" s="12">
        <v>12.03</v>
      </c>
      <c r="F268" s="12">
        <v>6.37</v>
      </c>
      <c r="G268" s="13">
        <v>5.4</v>
      </c>
      <c r="H268">
        <f t="shared" si="14"/>
        <v>469.56800000000015</v>
      </c>
      <c r="I268">
        <f t="shared" si="12"/>
        <v>0</v>
      </c>
      <c r="J268">
        <f t="shared" si="13"/>
        <v>0</v>
      </c>
    </row>
    <row r="269" spans="1:10" x14ac:dyDescent="0.25">
      <c r="A269" s="6">
        <v>44828</v>
      </c>
      <c r="B269" s="7">
        <v>0.26643518518518516</v>
      </c>
      <c r="C269" s="7">
        <v>0.77248842592592593</v>
      </c>
      <c r="D269" s="8">
        <v>0</v>
      </c>
      <c r="E269" s="8">
        <v>15.85</v>
      </c>
      <c r="F269" s="8">
        <v>6.64</v>
      </c>
      <c r="G269" s="9">
        <v>2.69</v>
      </c>
      <c r="H269">
        <f t="shared" si="14"/>
        <v>472.19000000000017</v>
      </c>
      <c r="I269">
        <f t="shared" si="12"/>
        <v>0</v>
      </c>
      <c r="J269">
        <f t="shared" si="13"/>
        <v>0</v>
      </c>
    </row>
    <row r="270" spans="1:10" x14ac:dyDescent="0.25">
      <c r="A270" s="10">
        <v>44829</v>
      </c>
      <c r="B270" s="11">
        <v>0.2675925925925926</v>
      </c>
      <c r="C270" s="11">
        <v>0.77084490740740741</v>
      </c>
      <c r="D270" s="12">
        <v>0</v>
      </c>
      <c r="E270" s="12">
        <v>18.45</v>
      </c>
      <c r="F270" s="12">
        <v>8.5399999999999991</v>
      </c>
      <c r="G270" s="13">
        <v>1.02</v>
      </c>
      <c r="H270">
        <f t="shared" si="14"/>
        <v>478.00200000000018</v>
      </c>
      <c r="I270">
        <f t="shared" si="12"/>
        <v>0</v>
      </c>
      <c r="J270">
        <f t="shared" si="13"/>
        <v>0</v>
      </c>
    </row>
    <row r="271" spans="1:10" x14ac:dyDescent="0.25">
      <c r="A271" s="6">
        <v>44830</v>
      </c>
      <c r="B271" s="7">
        <v>0.26874999999999999</v>
      </c>
      <c r="C271" s="7">
        <v>0.76921296296296293</v>
      </c>
      <c r="D271" s="8">
        <v>1</v>
      </c>
      <c r="E271" s="8">
        <v>11.93</v>
      </c>
      <c r="F271" s="8">
        <v>7.93</v>
      </c>
      <c r="G271" s="9">
        <v>3.04</v>
      </c>
      <c r="H271">
        <f t="shared" si="14"/>
        <v>481.30600000000015</v>
      </c>
      <c r="I271">
        <f t="shared" si="12"/>
        <v>0</v>
      </c>
      <c r="J271">
        <f t="shared" si="13"/>
        <v>0</v>
      </c>
    </row>
    <row r="272" spans="1:10" x14ac:dyDescent="0.25">
      <c r="A272" s="10">
        <v>44831</v>
      </c>
      <c r="B272" s="11">
        <v>0.26990740740740743</v>
      </c>
      <c r="C272" s="11">
        <v>0.76758101851851857</v>
      </c>
      <c r="D272" s="12">
        <v>0</v>
      </c>
      <c r="E272" s="12">
        <v>13.34</v>
      </c>
      <c r="F272" s="12">
        <v>8.39</v>
      </c>
      <c r="G272" s="13">
        <v>2.84</v>
      </c>
      <c r="H272">
        <f t="shared" si="14"/>
        <v>485.17800000000017</v>
      </c>
      <c r="I272">
        <f t="shared" si="12"/>
        <v>0</v>
      </c>
      <c r="J272">
        <f t="shared" si="13"/>
        <v>0</v>
      </c>
    </row>
    <row r="273" spans="1:10" x14ac:dyDescent="0.25">
      <c r="A273" s="6">
        <v>44832</v>
      </c>
      <c r="B273" s="7">
        <v>0.27106481481481481</v>
      </c>
      <c r="C273" s="7">
        <v>0.76596064814814813</v>
      </c>
      <c r="D273" s="8">
        <v>0</v>
      </c>
      <c r="E273" s="8">
        <v>13.66</v>
      </c>
      <c r="F273" s="8">
        <v>7.55</v>
      </c>
      <c r="G273" s="9">
        <v>2.14</v>
      </c>
      <c r="H273">
        <f t="shared" si="14"/>
        <v>489.0780000000002</v>
      </c>
      <c r="I273">
        <f t="shared" si="12"/>
        <v>0</v>
      </c>
      <c r="J273">
        <f t="shared" si="13"/>
        <v>0</v>
      </c>
    </row>
    <row r="274" spans="1:10" x14ac:dyDescent="0.25">
      <c r="A274" s="10">
        <v>44833</v>
      </c>
      <c r="B274" s="11">
        <v>0.27223379629629629</v>
      </c>
      <c r="C274" s="11">
        <v>0.76432870370370365</v>
      </c>
      <c r="D274" s="12">
        <v>2</v>
      </c>
      <c r="E274" s="12">
        <v>9.33</v>
      </c>
      <c r="F274" s="12">
        <v>5.86</v>
      </c>
      <c r="G274" s="13">
        <v>2.19</v>
      </c>
      <c r="H274">
        <f t="shared" si="14"/>
        <v>491.57600000000019</v>
      </c>
      <c r="I274">
        <f t="shared" si="12"/>
        <v>0</v>
      </c>
      <c r="J274">
        <f t="shared" si="13"/>
        <v>0</v>
      </c>
    </row>
    <row r="275" spans="1:10" x14ac:dyDescent="0.25">
      <c r="A275" s="6">
        <v>44834</v>
      </c>
      <c r="B275" s="7">
        <v>0.27339120370370368</v>
      </c>
      <c r="C275" s="7">
        <v>0.76270833333333332</v>
      </c>
      <c r="D275" s="8">
        <v>0</v>
      </c>
      <c r="E275" s="8">
        <v>12.98</v>
      </c>
      <c r="F275" s="8">
        <v>6.32</v>
      </c>
      <c r="G275" s="9">
        <v>3.02</v>
      </c>
      <c r="H275">
        <f t="shared" si="14"/>
        <v>493.61200000000019</v>
      </c>
      <c r="I275">
        <f t="shared" si="12"/>
        <v>0</v>
      </c>
      <c r="J275">
        <f t="shared" si="13"/>
        <v>0</v>
      </c>
    </row>
    <row r="276" spans="1:10" x14ac:dyDescent="0.25">
      <c r="A276" s="10">
        <v>44835</v>
      </c>
      <c r="B276" s="11">
        <v>0.27456018518518521</v>
      </c>
      <c r="C276" s="11">
        <v>0.76108796296296299</v>
      </c>
      <c r="D276" s="12">
        <v>3</v>
      </c>
      <c r="E276" s="12">
        <v>6.6</v>
      </c>
      <c r="F276" s="12">
        <v>5.68</v>
      </c>
      <c r="G276" s="13">
        <v>4.16</v>
      </c>
      <c r="H276">
        <f t="shared" si="14"/>
        <v>493.99600000000015</v>
      </c>
      <c r="I276">
        <f t="shared" si="12"/>
        <v>0</v>
      </c>
      <c r="J276">
        <f t="shared" si="13"/>
        <v>0</v>
      </c>
    </row>
    <row r="277" spans="1:10" x14ac:dyDescent="0.25">
      <c r="A277" s="6">
        <v>44836</v>
      </c>
      <c r="B277" s="7">
        <v>0.27572916666666669</v>
      </c>
      <c r="C277" s="7">
        <v>0.75947916666666671</v>
      </c>
      <c r="D277" s="8">
        <v>2</v>
      </c>
      <c r="E277" s="8">
        <v>8.07</v>
      </c>
      <c r="F277" s="8">
        <v>6.79</v>
      </c>
      <c r="G277" s="9">
        <v>5.03</v>
      </c>
      <c r="H277">
        <f t="shared" si="14"/>
        <v>494.3980000000002</v>
      </c>
      <c r="I277">
        <f t="shared" si="12"/>
        <v>0</v>
      </c>
      <c r="J277">
        <f t="shared" si="13"/>
        <v>0</v>
      </c>
    </row>
    <row r="278" spans="1:10" x14ac:dyDescent="0.25">
      <c r="A278" s="10">
        <v>44837</v>
      </c>
      <c r="B278" s="11">
        <v>0.27689814814814817</v>
      </c>
      <c r="C278" s="11">
        <v>0.75787037037037042</v>
      </c>
      <c r="D278" s="12">
        <v>4</v>
      </c>
      <c r="E278" s="12">
        <v>4.42</v>
      </c>
      <c r="F278" s="12">
        <v>3.32</v>
      </c>
      <c r="G278" s="13">
        <v>3.56</v>
      </c>
      <c r="H278">
        <f t="shared" si="14"/>
        <v>493.4940000000002</v>
      </c>
      <c r="I278">
        <f t="shared" si="12"/>
        <v>0</v>
      </c>
      <c r="J278">
        <f t="shared" si="13"/>
        <v>0</v>
      </c>
    </row>
    <row r="279" spans="1:10" x14ac:dyDescent="0.25">
      <c r="A279" s="6">
        <v>44838</v>
      </c>
      <c r="B279" s="7">
        <v>0.27807870370370369</v>
      </c>
      <c r="C279" s="7">
        <v>0.75626157407407413</v>
      </c>
      <c r="D279" s="8">
        <v>4</v>
      </c>
      <c r="E279" s="8">
        <v>4.3899999999999997</v>
      </c>
      <c r="F279" s="8">
        <v>1.26</v>
      </c>
      <c r="G279" s="9">
        <v>1.19</v>
      </c>
      <c r="H279">
        <f t="shared" si="14"/>
        <v>493.31200000000018</v>
      </c>
      <c r="I279">
        <f t="shared" si="12"/>
        <v>0</v>
      </c>
      <c r="J279">
        <f t="shared" si="13"/>
        <v>0</v>
      </c>
    </row>
    <row r="280" spans="1:10" x14ac:dyDescent="0.25">
      <c r="A280" s="10">
        <v>44839</v>
      </c>
      <c r="B280" s="11">
        <v>0.27925925925925926</v>
      </c>
      <c r="C280" s="11">
        <v>0.75466435185185188</v>
      </c>
      <c r="D280" s="12">
        <v>4</v>
      </c>
      <c r="E280" s="12">
        <v>5.07</v>
      </c>
      <c r="F280" s="12">
        <v>2.68</v>
      </c>
      <c r="G280" s="13">
        <v>2.14</v>
      </c>
      <c r="H280">
        <f t="shared" si="14"/>
        <v>493.3160000000002</v>
      </c>
      <c r="I280">
        <f t="shared" si="12"/>
        <v>0</v>
      </c>
      <c r="J280">
        <f t="shared" si="13"/>
        <v>0</v>
      </c>
    </row>
    <row r="281" spans="1:10" x14ac:dyDescent="0.25">
      <c r="A281" s="6">
        <v>44840</v>
      </c>
      <c r="B281" s="7">
        <v>0.28043981481481484</v>
      </c>
      <c r="C281" s="7">
        <v>0.75306712962962963</v>
      </c>
      <c r="D281" s="8">
        <v>4</v>
      </c>
      <c r="E281" s="8">
        <v>5.66</v>
      </c>
      <c r="F281" s="8">
        <v>3.96</v>
      </c>
      <c r="G281" s="9">
        <v>2.1800000000000002</v>
      </c>
      <c r="H281">
        <f t="shared" si="14"/>
        <v>494.3040000000002</v>
      </c>
      <c r="I281">
        <f t="shared" si="12"/>
        <v>0</v>
      </c>
      <c r="J281">
        <f t="shared" si="13"/>
        <v>0</v>
      </c>
    </row>
    <row r="282" spans="1:10" x14ac:dyDescent="0.25">
      <c r="A282" s="10">
        <v>44841</v>
      </c>
      <c r="B282" s="11">
        <v>0.28162037037037035</v>
      </c>
      <c r="C282" s="11">
        <v>0.75148148148148153</v>
      </c>
      <c r="D282" s="12">
        <v>4</v>
      </c>
      <c r="E282" s="12">
        <v>5.19</v>
      </c>
      <c r="F282" s="12">
        <v>3.12</v>
      </c>
      <c r="G282" s="13">
        <v>4.0599999999999996</v>
      </c>
      <c r="H282">
        <f t="shared" si="14"/>
        <v>492.74000000000018</v>
      </c>
      <c r="I282">
        <f t="shared" si="12"/>
        <v>0</v>
      </c>
      <c r="J282">
        <f t="shared" si="13"/>
        <v>0</v>
      </c>
    </row>
    <row r="283" spans="1:10" x14ac:dyDescent="0.25">
      <c r="A283" s="6">
        <v>44842</v>
      </c>
      <c r="B283" s="7">
        <v>0.28281250000000002</v>
      </c>
      <c r="C283" s="7">
        <v>0.74989583333333332</v>
      </c>
      <c r="D283" s="8">
        <v>7</v>
      </c>
      <c r="E283" s="8">
        <v>3.5</v>
      </c>
      <c r="F283" s="8">
        <v>1.65</v>
      </c>
      <c r="G283" s="9">
        <v>4.26</v>
      </c>
      <c r="H283">
        <f t="shared" si="14"/>
        <v>489.80000000000018</v>
      </c>
      <c r="I283">
        <f t="shared" si="12"/>
        <v>0</v>
      </c>
      <c r="J283">
        <f t="shared" si="13"/>
        <v>0</v>
      </c>
    </row>
    <row r="284" spans="1:10" x14ac:dyDescent="0.25">
      <c r="A284" s="10">
        <v>44843</v>
      </c>
      <c r="B284" s="11">
        <v>0.28399305555555554</v>
      </c>
      <c r="C284" s="11">
        <v>0.74832175925925926</v>
      </c>
      <c r="D284" s="12">
        <v>1</v>
      </c>
      <c r="E284" s="12">
        <v>9.49</v>
      </c>
      <c r="F284" s="12">
        <v>4.95</v>
      </c>
      <c r="G284" s="13">
        <v>2.89</v>
      </c>
      <c r="H284">
        <f t="shared" si="14"/>
        <v>490.87000000000018</v>
      </c>
      <c r="I284">
        <f t="shared" si="12"/>
        <v>0</v>
      </c>
      <c r="J284">
        <f t="shared" si="13"/>
        <v>0</v>
      </c>
    </row>
    <row r="285" spans="1:10" x14ac:dyDescent="0.25">
      <c r="A285" s="6">
        <v>44844</v>
      </c>
      <c r="B285" s="7">
        <v>0.28519675925925925</v>
      </c>
      <c r="C285" s="7">
        <v>0.74675925925925923</v>
      </c>
      <c r="D285" s="8">
        <v>3</v>
      </c>
      <c r="E285" s="8">
        <v>6.48</v>
      </c>
      <c r="F285" s="8">
        <v>4.8499999999999996</v>
      </c>
      <c r="G285" s="9">
        <v>3.41</v>
      </c>
      <c r="H285">
        <f t="shared" si="14"/>
        <v>491.34000000000015</v>
      </c>
      <c r="I285">
        <f t="shared" si="12"/>
        <v>0</v>
      </c>
      <c r="J285">
        <f t="shared" si="13"/>
        <v>0</v>
      </c>
    </row>
    <row r="286" spans="1:10" x14ac:dyDescent="0.25">
      <c r="A286" s="10">
        <v>44845</v>
      </c>
      <c r="B286" s="11">
        <v>0.28638888888888892</v>
      </c>
      <c r="C286" s="11">
        <v>0.74519675925925921</v>
      </c>
      <c r="D286" s="12">
        <v>3</v>
      </c>
      <c r="E286" s="12">
        <v>5.86</v>
      </c>
      <c r="F286" s="12">
        <v>4.97</v>
      </c>
      <c r="G286" s="13">
        <v>4.0199999999999996</v>
      </c>
      <c r="H286">
        <f t="shared" si="14"/>
        <v>491.29600000000016</v>
      </c>
      <c r="I286">
        <f t="shared" si="12"/>
        <v>0</v>
      </c>
      <c r="J286">
        <f t="shared" si="13"/>
        <v>0</v>
      </c>
    </row>
    <row r="287" spans="1:10" x14ac:dyDescent="0.25">
      <c r="A287" s="6">
        <v>44846</v>
      </c>
      <c r="B287" s="7">
        <v>0.28759259259259257</v>
      </c>
      <c r="C287" s="7">
        <v>0.74364583333333334</v>
      </c>
      <c r="D287" s="8">
        <v>3</v>
      </c>
      <c r="E287" s="8">
        <v>5.92</v>
      </c>
      <c r="F287" s="8">
        <v>4.3600000000000003</v>
      </c>
      <c r="G287" s="9">
        <v>2.68</v>
      </c>
      <c r="H287">
        <f t="shared" si="14"/>
        <v>492.10400000000016</v>
      </c>
      <c r="I287">
        <f t="shared" si="12"/>
        <v>0</v>
      </c>
      <c r="J287">
        <f t="shared" si="13"/>
        <v>0</v>
      </c>
    </row>
    <row r="288" spans="1:10" x14ac:dyDescent="0.25">
      <c r="A288" s="10">
        <v>44847</v>
      </c>
      <c r="B288" s="11">
        <v>0.28879629629629627</v>
      </c>
      <c r="C288" s="11">
        <v>0.74209490740740736</v>
      </c>
      <c r="D288" s="12">
        <v>5</v>
      </c>
      <c r="E288" s="12">
        <v>3.69</v>
      </c>
      <c r="F288" s="12">
        <v>1.58</v>
      </c>
      <c r="G288" s="13">
        <v>2.4300000000000002</v>
      </c>
      <c r="H288">
        <f t="shared" si="14"/>
        <v>490.93800000000016</v>
      </c>
      <c r="I288">
        <f t="shared" si="12"/>
        <v>0</v>
      </c>
      <c r="J288">
        <f t="shared" si="13"/>
        <v>0</v>
      </c>
    </row>
    <row r="289" spans="1:10" x14ac:dyDescent="0.25">
      <c r="A289" s="6">
        <v>44848</v>
      </c>
      <c r="B289" s="7">
        <v>0.28999999999999998</v>
      </c>
      <c r="C289" s="7">
        <v>0.74056712962962967</v>
      </c>
      <c r="D289" s="8">
        <v>1</v>
      </c>
      <c r="E289" s="8">
        <v>8.8800000000000008</v>
      </c>
      <c r="F289" s="8">
        <v>3.95</v>
      </c>
      <c r="G289" s="9">
        <v>2.44</v>
      </c>
      <c r="H289">
        <f t="shared" si="14"/>
        <v>491.65800000000019</v>
      </c>
      <c r="I289">
        <f t="shared" si="12"/>
        <v>0</v>
      </c>
      <c r="J289">
        <f t="shared" si="13"/>
        <v>0</v>
      </c>
    </row>
    <row r="290" spans="1:10" x14ac:dyDescent="0.25">
      <c r="A290" s="10">
        <v>44849</v>
      </c>
      <c r="B290" s="11">
        <v>0.29121527777777778</v>
      </c>
      <c r="C290" s="11">
        <v>0.73903935185185188</v>
      </c>
      <c r="D290" s="12">
        <v>1</v>
      </c>
      <c r="E290" s="12">
        <v>8.56</v>
      </c>
      <c r="F290" s="12">
        <v>2.86</v>
      </c>
      <c r="G290" s="13">
        <v>1.61</v>
      </c>
      <c r="H290">
        <f t="shared" si="14"/>
        <v>492.33600000000018</v>
      </c>
      <c r="I290">
        <f t="shared" si="12"/>
        <v>0</v>
      </c>
      <c r="J290">
        <f t="shared" si="13"/>
        <v>0</v>
      </c>
    </row>
    <row r="291" spans="1:10" x14ac:dyDescent="0.25">
      <c r="A291" s="6">
        <v>44850</v>
      </c>
      <c r="B291" s="7">
        <v>0.29243055555555558</v>
      </c>
      <c r="C291" s="7">
        <v>0.73752314814814812</v>
      </c>
      <c r="D291" s="8">
        <v>0</v>
      </c>
      <c r="E291" s="8">
        <v>14.7</v>
      </c>
      <c r="F291" s="8">
        <v>5.42</v>
      </c>
      <c r="G291" s="9">
        <v>2.48</v>
      </c>
      <c r="H291">
        <f t="shared" si="14"/>
        <v>494.19200000000018</v>
      </c>
      <c r="I291">
        <f t="shared" si="12"/>
        <v>0</v>
      </c>
      <c r="J291">
        <f t="shared" si="13"/>
        <v>0</v>
      </c>
    </row>
    <row r="292" spans="1:10" x14ac:dyDescent="0.25">
      <c r="A292" s="10">
        <v>44851</v>
      </c>
      <c r="B292" s="11">
        <v>0.29364583333333333</v>
      </c>
      <c r="C292" s="11">
        <v>0.73601851851851852</v>
      </c>
      <c r="D292" s="12">
        <v>1</v>
      </c>
      <c r="E292" s="12">
        <v>11.59</v>
      </c>
      <c r="F292" s="12">
        <v>6.72</v>
      </c>
      <c r="G292" s="13">
        <v>2.4700000000000002</v>
      </c>
      <c r="H292">
        <f t="shared" si="14"/>
        <v>497.09800000000013</v>
      </c>
      <c r="I292">
        <f t="shared" si="12"/>
        <v>0</v>
      </c>
      <c r="J292">
        <f t="shared" si="13"/>
        <v>0</v>
      </c>
    </row>
    <row r="293" spans="1:10" x14ac:dyDescent="0.25">
      <c r="A293" s="6">
        <v>44852</v>
      </c>
      <c r="B293" s="7">
        <v>0.29486111111111113</v>
      </c>
      <c r="C293" s="7">
        <v>0.73451388888888891</v>
      </c>
      <c r="D293" s="8">
        <v>6</v>
      </c>
      <c r="E293" s="8">
        <v>3.26</v>
      </c>
      <c r="F293" s="8">
        <v>1.96</v>
      </c>
      <c r="G293" s="9">
        <v>3.14</v>
      </c>
      <c r="H293">
        <f t="shared" si="14"/>
        <v>495.52600000000012</v>
      </c>
      <c r="I293">
        <f t="shared" si="12"/>
        <v>0</v>
      </c>
      <c r="J293">
        <f t="shared" si="13"/>
        <v>0</v>
      </c>
    </row>
    <row r="294" spans="1:10" x14ac:dyDescent="0.25">
      <c r="A294" s="10">
        <v>44853</v>
      </c>
      <c r="B294" s="11">
        <v>0.29608796296296297</v>
      </c>
      <c r="C294" s="11">
        <v>0.73303240740740738</v>
      </c>
      <c r="D294" s="12">
        <v>4</v>
      </c>
      <c r="E294" s="12">
        <v>4.9000000000000004</v>
      </c>
      <c r="F294" s="12">
        <v>1.87</v>
      </c>
      <c r="G294" s="13">
        <v>3.61</v>
      </c>
      <c r="H294">
        <f t="shared" si="14"/>
        <v>493.41200000000009</v>
      </c>
      <c r="I294">
        <f t="shared" si="12"/>
        <v>0</v>
      </c>
      <c r="J294">
        <f t="shared" si="13"/>
        <v>0</v>
      </c>
    </row>
    <row r="295" spans="1:10" x14ac:dyDescent="0.25">
      <c r="A295" s="6">
        <v>44854</v>
      </c>
      <c r="B295" s="7">
        <v>0.29731481481481481</v>
      </c>
      <c r="C295" s="7">
        <v>0.7315625</v>
      </c>
      <c r="D295" s="8">
        <v>1</v>
      </c>
      <c r="E295" s="8">
        <v>9.3800000000000008</v>
      </c>
      <c r="F295" s="8">
        <v>5.46</v>
      </c>
      <c r="G295" s="9">
        <v>3.45</v>
      </c>
      <c r="H295">
        <f t="shared" si="14"/>
        <v>494.3300000000001</v>
      </c>
      <c r="I295">
        <f t="shared" si="12"/>
        <v>0</v>
      </c>
      <c r="J295">
        <f t="shared" si="13"/>
        <v>0</v>
      </c>
    </row>
    <row r="296" spans="1:10" x14ac:dyDescent="0.25">
      <c r="A296" s="10">
        <v>44855</v>
      </c>
      <c r="B296" s="11">
        <v>0.29855324074074074</v>
      </c>
      <c r="C296" s="11">
        <v>0.73009259259259263</v>
      </c>
      <c r="D296" s="12">
        <v>3</v>
      </c>
      <c r="E296" s="12">
        <v>5.29</v>
      </c>
      <c r="F296" s="12">
        <v>3.94</v>
      </c>
      <c r="G296" s="13">
        <v>3.48</v>
      </c>
      <c r="H296">
        <f t="shared" si="14"/>
        <v>494.00200000000007</v>
      </c>
      <c r="I296">
        <f t="shared" si="12"/>
        <v>0</v>
      </c>
      <c r="J296">
        <f t="shared" si="13"/>
        <v>0</v>
      </c>
    </row>
    <row r="297" spans="1:10" x14ac:dyDescent="0.25">
      <c r="A297" s="6">
        <v>44856</v>
      </c>
      <c r="B297" s="7">
        <v>0.29978009259259258</v>
      </c>
      <c r="C297" s="7">
        <v>0.72864583333333333</v>
      </c>
      <c r="D297" s="8">
        <v>0</v>
      </c>
      <c r="E297" s="8">
        <v>13.23</v>
      </c>
      <c r="F297" s="8">
        <v>6.74</v>
      </c>
      <c r="G297" s="9">
        <v>2.69</v>
      </c>
      <c r="H297">
        <f t="shared" si="14"/>
        <v>496.70400000000006</v>
      </c>
      <c r="I297">
        <f t="shared" si="12"/>
        <v>0</v>
      </c>
      <c r="J297">
        <f t="shared" si="13"/>
        <v>0</v>
      </c>
    </row>
    <row r="298" spans="1:10" x14ac:dyDescent="0.25">
      <c r="A298" s="10">
        <v>44857</v>
      </c>
      <c r="B298" s="11">
        <v>0.30101851851851852</v>
      </c>
      <c r="C298" s="11">
        <v>0.72721064814814818</v>
      </c>
      <c r="D298" s="12">
        <v>7</v>
      </c>
      <c r="E298" s="12">
        <v>3.97</v>
      </c>
      <c r="F298" s="12">
        <v>1.64</v>
      </c>
      <c r="G298" s="13">
        <v>4.84</v>
      </c>
      <c r="H298">
        <f t="shared" si="14"/>
        <v>493.1760000000001</v>
      </c>
      <c r="I298">
        <f t="shared" si="12"/>
        <v>0</v>
      </c>
      <c r="J298">
        <f t="shared" si="13"/>
        <v>0</v>
      </c>
    </row>
    <row r="299" spans="1:10" x14ac:dyDescent="0.25">
      <c r="A299" s="6">
        <v>44858</v>
      </c>
      <c r="B299" s="7">
        <v>0.30225694444444445</v>
      </c>
      <c r="C299" s="7">
        <v>0.72578703703703706</v>
      </c>
      <c r="D299" s="8">
        <v>0</v>
      </c>
      <c r="E299" s="8">
        <v>12.38</v>
      </c>
      <c r="F299" s="8">
        <v>6.35</v>
      </c>
      <c r="G299" s="9">
        <v>3.66</v>
      </c>
      <c r="H299">
        <f t="shared" si="14"/>
        <v>494.59600000000006</v>
      </c>
      <c r="I299">
        <f t="shared" si="12"/>
        <v>0</v>
      </c>
      <c r="J299">
        <f t="shared" si="13"/>
        <v>0</v>
      </c>
    </row>
    <row r="300" spans="1:10" x14ac:dyDescent="0.25">
      <c r="A300" s="10">
        <v>44859</v>
      </c>
      <c r="B300" s="11">
        <v>0.30349537037037039</v>
      </c>
      <c r="C300" s="11">
        <v>0.72437499999999999</v>
      </c>
      <c r="D300" s="12">
        <v>4</v>
      </c>
      <c r="E300" s="12">
        <v>4.58</v>
      </c>
      <c r="F300" s="12">
        <v>2.5299999999999998</v>
      </c>
      <c r="G300" s="13">
        <v>4.57</v>
      </c>
      <c r="H300">
        <f t="shared" si="14"/>
        <v>492.05000000000007</v>
      </c>
      <c r="I300">
        <f t="shared" si="12"/>
        <v>0</v>
      </c>
      <c r="J300">
        <f t="shared" si="13"/>
        <v>0</v>
      </c>
    </row>
    <row r="301" spans="1:10" x14ac:dyDescent="0.25">
      <c r="A301" s="6">
        <v>44860</v>
      </c>
      <c r="B301" s="7">
        <v>0.30474537037037036</v>
      </c>
      <c r="C301" s="7">
        <v>0.72298611111111111</v>
      </c>
      <c r="D301" s="8">
        <v>6</v>
      </c>
      <c r="E301" s="8">
        <v>2.06</v>
      </c>
      <c r="F301" s="8">
        <v>1.06</v>
      </c>
      <c r="G301" s="9">
        <v>3.84</v>
      </c>
      <c r="H301">
        <f t="shared" si="14"/>
        <v>489.05800000000011</v>
      </c>
      <c r="I301">
        <f t="shared" si="12"/>
        <v>0</v>
      </c>
      <c r="J301">
        <f t="shared" si="13"/>
        <v>0</v>
      </c>
    </row>
    <row r="302" spans="1:10" x14ac:dyDescent="0.25">
      <c r="A302" s="10">
        <v>44861</v>
      </c>
      <c r="B302" s="11">
        <v>0.30599537037037039</v>
      </c>
      <c r="C302" s="11">
        <v>0.72159722222222222</v>
      </c>
      <c r="D302" s="12">
        <v>1</v>
      </c>
      <c r="E302" s="12">
        <v>8.7799999999999994</v>
      </c>
      <c r="F302" s="12">
        <v>2.09</v>
      </c>
      <c r="G302" s="13">
        <v>1.58</v>
      </c>
      <c r="H302">
        <f t="shared" si="14"/>
        <v>489.15000000000015</v>
      </c>
      <c r="I302">
        <f t="shared" si="12"/>
        <v>0</v>
      </c>
      <c r="J302">
        <f t="shared" si="13"/>
        <v>0</v>
      </c>
    </row>
    <row r="303" spans="1:10" x14ac:dyDescent="0.25">
      <c r="A303" s="6">
        <v>44862</v>
      </c>
      <c r="B303" s="7">
        <v>0.30724537037037036</v>
      </c>
      <c r="C303" s="7">
        <v>0.72023148148148153</v>
      </c>
      <c r="D303" s="8">
        <v>1</v>
      </c>
      <c r="E303" s="8">
        <v>8.06</v>
      </c>
      <c r="F303" s="8">
        <v>1.98</v>
      </c>
      <c r="G303" s="9">
        <v>1.08</v>
      </c>
      <c r="H303">
        <f t="shared" si="14"/>
        <v>489.65400000000017</v>
      </c>
      <c r="I303">
        <f t="shared" si="12"/>
        <v>0</v>
      </c>
      <c r="J303">
        <f t="shared" si="13"/>
        <v>0</v>
      </c>
    </row>
    <row r="304" spans="1:10" x14ac:dyDescent="0.25">
      <c r="A304" s="10">
        <v>44863</v>
      </c>
      <c r="B304" s="11">
        <v>0.30849537037037039</v>
      </c>
      <c r="C304" s="11">
        <v>0.71888888888888891</v>
      </c>
      <c r="D304" s="12">
        <v>4</v>
      </c>
      <c r="E304" s="12">
        <v>4.7300000000000004</v>
      </c>
      <c r="F304" s="12">
        <v>3.79</v>
      </c>
      <c r="G304" s="13">
        <v>3.08</v>
      </c>
      <c r="H304">
        <f t="shared" si="14"/>
        <v>489.60600000000017</v>
      </c>
      <c r="I304">
        <f t="shared" si="12"/>
        <v>0</v>
      </c>
      <c r="J304">
        <f t="shared" si="13"/>
        <v>0</v>
      </c>
    </row>
    <row r="305" spans="1:10" x14ac:dyDescent="0.25">
      <c r="A305" s="6">
        <v>44864</v>
      </c>
      <c r="B305" s="7">
        <v>0.26807870370370368</v>
      </c>
      <c r="C305" s="7">
        <v>0.67587962962962966</v>
      </c>
      <c r="D305" s="8">
        <v>3</v>
      </c>
      <c r="E305" s="8">
        <v>5.33</v>
      </c>
      <c r="F305" s="8">
        <v>2.98</v>
      </c>
      <c r="G305" s="9">
        <v>3.05</v>
      </c>
      <c r="H305">
        <f t="shared" si="14"/>
        <v>488.94000000000017</v>
      </c>
      <c r="I305">
        <f t="shared" si="12"/>
        <v>0</v>
      </c>
      <c r="J305">
        <f t="shared" si="13"/>
        <v>0</v>
      </c>
    </row>
    <row r="306" spans="1:10" x14ac:dyDescent="0.25">
      <c r="A306" s="10">
        <v>44865</v>
      </c>
      <c r="B306" s="11">
        <v>0.26932870370370371</v>
      </c>
      <c r="C306" s="11">
        <v>0.67457175925925927</v>
      </c>
      <c r="D306" s="12">
        <v>6</v>
      </c>
      <c r="E306" s="12">
        <v>2.13</v>
      </c>
      <c r="F306" s="12">
        <v>1.67</v>
      </c>
      <c r="G306" s="13">
        <v>4.21</v>
      </c>
      <c r="H306">
        <f t="shared" si="14"/>
        <v>486.0660000000002</v>
      </c>
      <c r="I306">
        <f t="shared" si="12"/>
        <v>0</v>
      </c>
      <c r="J306">
        <f t="shared" si="13"/>
        <v>0</v>
      </c>
    </row>
    <row r="307" spans="1:10" x14ac:dyDescent="0.25">
      <c r="A307" s="6">
        <v>44866</v>
      </c>
      <c r="B307" s="7">
        <v>0.27057870370370368</v>
      </c>
      <c r="C307" s="7">
        <v>0.67327546296296292</v>
      </c>
      <c r="D307" s="8">
        <v>8</v>
      </c>
      <c r="E307" s="8">
        <v>1.23</v>
      </c>
      <c r="F307" s="8">
        <v>0.56999999999999995</v>
      </c>
      <c r="G307" s="9">
        <v>5.08</v>
      </c>
      <c r="H307">
        <f t="shared" si="14"/>
        <v>481.44200000000023</v>
      </c>
      <c r="I307">
        <f t="shared" si="12"/>
        <v>0</v>
      </c>
      <c r="J307">
        <f t="shared" si="13"/>
        <v>0</v>
      </c>
    </row>
    <row r="308" spans="1:10" x14ac:dyDescent="0.25">
      <c r="A308" s="10">
        <v>44867</v>
      </c>
      <c r="B308" s="11">
        <v>0.27184027777777775</v>
      </c>
      <c r="C308" s="11">
        <v>0.67199074074074072</v>
      </c>
      <c r="D308" s="12">
        <v>3</v>
      </c>
      <c r="E308" s="12">
        <v>5.84</v>
      </c>
      <c r="F308" s="12">
        <v>4.32</v>
      </c>
      <c r="G308" s="13">
        <v>2.95</v>
      </c>
      <c r="H308">
        <f t="shared" si="14"/>
        <v>481.94800000000026</v>
      </c>
      <c r="I308">
        <f t="shared" si="12"/>
        <v>0</v>
      </c>
      <c r="J308">
        <f t="shared" si="13"/>
        <v>0</v>
      </c>
    </row>
    <row r="309" spans="1:10" x14ac:dyDescent="0.25">
      <c r="A309" s="6">
        <v>44868</v>
      </c>
      <c r="B309" s="7">
        <v>0.27309027777777778</v>
      </c>
      <c r="C309" s="7">
        <v>0.67072916666666671</v>
      </c>
      <c r="D309" s="8">
        <v>3</v>
      </c>
      <c r="E309" s="8">
        <v>4.55</v>
      </c>
      <c r="F309" s="8">
        <v>3.94</v>
      </c>
      <c r="G309" s="9">
        <v>6.57</v>
      </c>
      <c r="H309">
        <f t="shared" si="14"/>
        <v>478.53000000000026</v>
      </c>
      <c r="I309">
        <f t="shared" si="12"/>
        <v>0</v>
      </c>
      <c r="J309">
        <f t="shared" si="13"/>
        <v>0</v>
      </c>
    </row>
    <row r="310" spans="1:10" x14ac:dyDescent="0.25">
      <c r="A310" s="10">
        <v>44869</v>
      </c>
      <c r="B310" s="11">
        <v>0.27434027777777775</v>
      </c>
      <c r="C310" s="11">
        <v>0.66947916666666663</v>
      </c>
      <c r="D310" s="12">
        <v>3</v>
      </c>
      <c r="E310" s="12">
        <v>4.7</v>
      </c>
      <c r="F310" s="12">
        <v>3.64</v>
      </c>
      <c r="G310" s="13">
        <v>4.21</v>
      </c>
      <c r="H310">
        <f t="shared" si="14"/>
        <v>477.23200000000026</v>
      </c>
      <c r="I310">
        <f t="shared" si="12"/>
        <v>0</v>
      </c>
      <c r="J310">
        <f t="shared" si="13"/>
        <v>0</v>
      </c>
    </row>
    <row r="311" spans="1:10" x14ac:dyDescent="0.25">
      <c r="A311" s="6">
        <v>44870</v>
      </c>
      <c r="B311" s="7">
        <v>0.27560185185185188</v>
      </c>
      <c r="C311" s="7">
        <v>0.66826388888888888</v>
      </c>
      <c r="D311" s="8">
        <v>2</v>
      </c>
      <c r="E311" s="8">
        <v>5.19</v>
      </c>
      <c r="F311" s="8">
        <v>3.65</v>
      </c>
      <c r="G311" s="9">
        <v>5.32</v>
      </c>
      <c r="H311">
        <f t="shared" si="14"/>
        <v>474.83200000000028</v>
      </c>
      <c r="I311">
        <f t="shared" si="12"/>
        <v>0</v>
      </c>
      <c r="J311">
        <f t="shared" si="13"/>
        <v>0</v>
      </c>
    </row>
    <row r="312" spans="1:10" x14ac:dyDescent="0.25">
      <c r="A312" s="10">
        <v>44871</v>
      </c>
      <c r="B312" s="11">
        <v>0.27685185185185185</v>
      </c>
      <c r="C312" s="11">
        <v>0.66706018518518517</v>
      </c>
      <c r="D312" s="12">
        <v>1</v>
      </c>
      <c r="E312" s="12">
        <v>7.75</v>
      </c>
      <c r="F312" s="12">
        <v>3.84</v>
      </c>
      <c r="G312" s="13">
        <v>3.65</v>
      </c>
      <c r="H312">
        <f t="shared" si="14"/>
        <v>474.2540000000003</v>
      </c>
      <c r="I312">
        <f t="shared" si="12"/>
        <v>0</v>
      </c>
      <c r="J312">
        <f t="shared" si="13"/>
        <v>0</v>
      </c>
    </row>
    <row r="313" spans="1:10" x14ac:dyDescent="0.25">
      <c r="A313" s="6">
        <v>44872</v>
      </c>
      <c r="B313" s="7">
        <v>0.27810185185185188</v>
      </c>
      <c r="C313" s="7">
        <v>0.66587962962962965</v>
      </c>
      <c r="D313" s="8">
        <v>4</v>
      </c>
      <c r="E313" s="8">
        <v>4.07</v>
      </c>
      <c r="F313" s="8">
        <v>3.21</v>
      </c>
      <c r="G313" s="9">
        <v>3.48</v>
      </c>
      <c r="H313">
        <f t="shared" si="14"/>
        <v>473.34200000000027</v>
      </c>
      <c r="I313">
        <f t="shared" si="12"/>
        <v>0</v>
      </c>
      <c r="J313">
        <f t="shared" si="13"/>
        <v>0</v>
      </c>
    </row>
    <row r="314" spans="1:10" x14ac:dyDescent="0.25">
      <c r="A314" s="10">
        <v>44873</v>
      </c>
      <c r="B314" s="11">
        <v>0.27935185185185185</v>
      </c>
      <c r="C314" s="11">
        <v>0.66471064814814818</v>
      </c>
      <c r="D314" s="12">
        <v>3</v>
      </c>
      <c r="E314" s="12">
        <v>5.63</v>
      </c>
      <c r="F314" s="12">
        <v>4.2300000000000004</v>
      </c>
      <c r="G314" s="13">
        <v>4.6100000000000003</v>
      </c>
      <c r="H314">
        <f t="shared" si="14"/>
        <v>472.11600000000027</v>
      </c>
      <c r="I314">
        <f t="shared" si="12"/>
        <v>0</v>
      </c>
      <c r="J314">
        <f t="shared" si="13"/>
        <v>0</v>
      </c>
    </row>
    <row r="315" spans="1:10" x14ac:dyDescent="0.25">
      <c r="A315" s="6">
        <v>44874</v>
      </c>
      <c r="B315" s="7">
        <v>0.28059027777777779</v>
      </c>
      <c r="C315" s="7">
        <v>0.66357638888888892</v>
      </c>
      <c r="D315" s="8">
        <v>6</v>
      </c>
      <c r="E315" s="8">
        <v>3.14</v>
      </c>
      <c r="F315" s="8">
        <v>1.65</v>
      </c>
      <c r="G315" s="9">
        <v>2.96</v>
      </c>
      <c r="H315">
        <f t="shared" si="14"/>
        <v>470.47600000000028</v>
      </c>
      <c r="I315">
        <f t="shared" si="12"/>
        <v>0</v>
      </c>
      <c r="J315">
        <f t="shared" si="13"/>
        <v>0</v>
      </c>
    </row>
    <row r="316" spans="1:10" x14ac:dyDescent="0.25">
      <c r="A316" s="10">
        <v>44875</v>
      </c>
      <c r="B316" s="11">
        <v>0.28184027777777776</v>
      </c>
      <c r="C316" s="11">
        <v>0.66246527777777775</v>
      </c>
      <c r="D316" s="12">
        <v>0</v>
      </c>
      <c r="E316" s="12">
        <v>11.93</v>
      </c>
      <c r="F316" s="12">
        <v>6.46</v>
      </c>
      <c r="G316" s="13">
        <v>4.0599999999999996</v>
      </c>
      <c r="H316">
        <f t="shared" si="14"/>
        <v>471.58400000000029</v>
      </c>
      <c r="I316">
        <f t="shared" si="12"/>
        <v>0</v>
      </c>
      <c r="J316">
        <f t="shared" si="13"/>
        <v>0</v>
      </c>
    </row>
    <row r="317" spans="1:10" x14ac:dyDescent="0.25">
      <c r="A317" s="6">
        <v>44876</v>
      </c>
      <c r="B317" s="7">
        <v>0.28307870370370369</v>
      </c>
      <c r="C317" s="7">
        <v>0.66136574074074073</v>
      </c>
      <c r="D317" s="8">
        <v>4</v>
      </c>
      <c r="E317" s="8">
        <v>5.15</v>
      </c>
      <c r="F317" s="8">
        <v>2.4900000000000002</v>
      </c>
      <c r="G317" s="9">
        <v>3.84</v>
      </c>
      <c r="H317">
        <f t="shared" si="14"/>
        <v>469.73600000000033</v>
      </c>
      <c r="I317">
        <f t="shared" si="12"/>
        <v>0</v>
      </c>
      <c r="J317">
        <f t="shared" si="13"/>
        <v>0</v>
      </c>
    </row>
    <row r="318" spans="1:10" x14ac:dyDescent="0.25">
      <c r="A318" s="10">
        <v>44877</v>
      </c>
      <c r="B318" s="11">
        <v>0.28430555555555553</v>
      </c>
      <c r="C318" s="11">
        <v>0.66030092592592593</v>
      </c>
      <c r="D318" s="12">
        <v>3</v>
      </c>
      <c r="E318" s="12">
        <v>4.75</v>
      </c>
      <c r="F318" s="12">
        <v>3.49</v>
      </c>
      <c r="G318" s="13">
        <v>5.09</v>
      </c>
      <c r="H318">
        <f t="shared" si="14"/>
        <v>467.43800000000033</v>
      </c>
      <c r="I318">
        <f t="shared" si="12"/>
        <v>0</v>
      </c>
      <c r="J318">
        <f t="shared" si="13"/>
        <v>0</v>
      </c>
    </row>
    <row r="319" spans="1:10" x14ac:dyDescent="0.25">
      <c r="A319" s="6">
        <v>44878</v>
      </c>
      <c r="B319" s="7">
        <v>0.28554398148148147</v>
      </c>
      <c r="C319" s="7">
        <v>0.65925925925925921</v>
      </c>
      <c r="D319" s="8">
        <v>3</v>
      </c>
      <c r="E319" s="8">
        <v>4.16</v>
      </c>
      <c r="F319" s="8">
        <v>3.02</v>
      </c>
      <c r="G319" s="9">
        <v>4.1900000000000004</v>
      </c>
      <c r="H319">
        <f t="shared" si="14"/>
        <v>465.66400000000033</v>
      </c>
      <c r="I319">
        <f t="shared" si="12"/>
        <v>0</v>
      </c>
      <c r="J319">
        <f t="shared" si="13"/>
        <v>0</v>
      </c>
    </row>
    <row r="320" spans="1:10" x14ac:dyDescent="0.25">
      <c r="A320" s="10">
        <v>44879</v>
      </c>
      <c r="B320" s="11">
        <v>0.28675925925925927</v>
      </c>
      <c r="C320" s="11">
        <v>0.65824074074074079</v>
      </c>
      <c r="D320" s="12">
        <v>2</v>
      </c>
      <c r="E320" s="12">
        <v>5.19</v>
      </c>
      <c r="F320" s="12">
        <v>2.94</v>
      </c>
      <c r="G320" s="13">
        <v>4.9400000000000004</v>
      </c>
      <c r="H320">
        <f t="shared" si="14"/>
        <v>463.07600000000031</v>
      </c>
      <c r="I320">
        <f t="shared" si="12"/>
        <v>0</v>
      </c>
      <c r="J320">
        <f t="shared" si="13"/>
        <v>0</v>
      </c>
    </row>
    <row r="321" spans="1:10" x14ac:dyDescent="0.25">
      <c r="A321" s="6">
        <v>44880</v>
      </c>
      <c r="B321" s="7">
        <v>0.28797453703703701</v>
      </c>
      <c r="C321" s="7">
        <v>0.65725694444444449</v>
      </c>
      <c r="D321" s="8">
        <v>8</v>
      </c>
      <c r="E321" s="8">
        <v>1.38</v>
      </c>
      <c r="F321" s="8">
        <v>0.4</v>
      </c>
      <c r="G321" s="9">
        <v>6.48</v>
      </c>
      <c r="H321">
        <f t="shared" si="14"/>
        <v>456.91600000000028</v>
      </c>
      <c r="I321">
        <f t="shared" si="12"/>
        <v>0</v>
      </c>
      <c r="J321">
        <f t="shared" si="13"/>
        <v>0</v>
      </c>
    </row>
    <row r="322" spans="1:10" x14ac:dyDescent="0.25">
      <c r="A322" s="10">
        <v>44881</v>
      </c>
      <c r="B322" s="11">
        <v>0.28918981481481482</v>
      </c>
      <c r="C322" s="11">
        <v>0.65628472222222223</v>
      </c>
      <c r="D322" s="12">
        <v>8</v>
      </c>
      <c r="E322" s="12">
        <v>1.53</v>
      </c>
      <c r="F322" s="12">
        <v>0.23</v>
      </c>
      <c r="G322" s="13">
        <v>3.95</v>
      </c>
      <c r="H322">
        <f t="shared" si="14"/>
        <v>453.15000000000032</v>
      </c>
      <c r="I322">
        <f t="shared" si="12"/>
        <v>0</v>
      </c>
      <c r="J322">
        <f t="shared" si="13"/>
        <v>0</v>
      </c>
    </row>
    <row r="323" spans="1:10" x14ac:dyDescent="0.25">
      <c r="A323" s="6">
        <v>44882</v>
      </c>
      <c r="B323" s="7">
        <v>0.29038194444444443</v>
      </c>
      <c r="C323" s="7">
        <v>0.65534722222222219</v>
      </c>
      <c r="D323" s="8">
        <v>2</v>
      </c>
      <c r="E323" s="8">
        <v>4.1900000000000004</v>
      </c>
      <c r="F323" s="8">
        <v>1.92</v>
      </c>
      <c r="G323" s="9">
        <v>3.24</v>
      </c>
      <c r="H323">
        <f t="shared" si="14"/>
        <v>451.44600000000031</v>
      </c>
      <c r="I323">
        <f t="shared" ref="I323:I367" si="15">IF(H323&lt;50,1,0)</f>
        <v>0</v>
      </c>
      <c r="J323">
        <f t="shared" ref="J323:J367" si="16">IF(H323&lt;0,1,0)</f>
        <v>0</v>
      </c>
    </row>
    <row r="324" spans="1:10" x14ac:dyDescent="0.25">
      <c r="A324" s="10">
        <v>44883</v>
      </c>
      <c r="B324" s="11">
        <v>0.2915740740740741</v>
      </c>
      <c r="C324" s="11">
        <v>0.6544444444444445</v>
      </c>
      <c r="D324" s="12">
        <v>5</v>
      </c>
      <c r="E324" s="12">
        <v>3.63</v>
      </c>
      <c r="F324" s="12">
        <v>1.48</v>
      </c>
      <c r="G324" s="13">
        <v>2.96</v>
      </c>
      <c r="H324">
        <f t="shared" ref="H324:H367" si="17">H323+(F324*0.8)-G324</f>
        <v>449.67000000000036</v>
      </c>
      <c r="I324">
        <f t="shared" si="15"/>
        <v>0</v>
      </c>
      <c r="J324">
        <f t="shared" si="16"/>
        <v>0</v>
      </c>
    </row>
    <row r="325" spans="1:10" x14ac:dyDescent="0.25">
      <c r="A325" s="6">
        <v>44884</v>
      </c>
      <c r="B325" s="7">
        <v>0.29276620370370371</v>
      </c>
      <c r="C325" s="7">
        <v>0.65356481481481477</v>
      </c>
      <c r="D325" s="8">
        <v>5</v>
      </c>
      <c r="E325" s="8">
        <v>3.6</v>
      </c>
      <c r="F325" s="8">
        <v>2.06</v>
      </c>
      <c r="G325" s="9">
        <v>2.72</v>
      </c>
      <c r="H325">
        <f t="shared" si="17"/>
        <v>448.59800000000035</v>
      </c>
      <c r="I325">
        <f t="shared" si="15"/>
        <v>0</v>
      </c>
      <c r="J325">
        <f t="shared" si="16"/>
        <v>0</v>
      </c>
    </row>
    <row r="326" spans="1:10" x14ac:dyDescent="0.25">
      <c r="A326" s="10">
        <v>44885</v>
      </c>
      <c r="B326" s="11">
        <v>0.29393518518518519</v>
      </c>
      <c r="C326" s="11">
        <v>0.65270833333333333</v>
      </c>
      <c r="D326" s="12">
        <v>2</v>
      </c>
      <c r="E326" s="12">
        <v>6.14</v>
      </c>
      <c r="F326" s="12">
        <v>5.07</v>
      </c>
      <c r="G326" s="13">
        <v>3.94</v>
      </c>
      <c r="H326">
        <f t="shared" si="17"/>
        <v>448.71400000000034</v>
      </c>
      <c r="I326">
        <f t="shared" si="15"/>
        <v>0</v>
      </c>
      <c r="J326">
        <f t="shared" si="16"/>
        <v>0</v>
      </c>
    </row>
    <row r="327" spans="1:10" x14ac:dyDescent="0.25">
      <c r="A327" s="6">
        <v>44886</v>
      </c>
      <c r="B327" s="7">
        <v>0.29509259259259257</v>
      </c>
      <c r="C327" s="7">
        <v>0.65188657407407402</v>
      </c>
      <c r="D327" s="8">
        <v>5</v>
      </c>
      <c r="E327" s="8">
        <v>3.16</v>
      </c>
      <c r="F327" s="8">
        <v>2.11</v>
      </c>
      <c r="G327" s="9">
        <v>4.08</v>
      </c>
      <c r="H327">
        <f t="shared" si="17"/>
        <v>446.32200000000034</v>
      </c>
      <c r="I327">
        <f t="shared" si="15"/>
        <v>0</v>
      </c>
      <c r="J327">
        <f t="shared" si="16"/>
        <v>0</v>
      </c>
    </row>
    <row r="328" spans="1:10" x14ac:dyDescent="0.25">
      <c r="A328" s="10">
        <v>44887</v>
      </c>
      <c r="B328" s="11">
        <v>0.29623842592592592</v>
      </c>
      <c r="C328" s="11">
        <v>0.65109953703703705</v>
      </c>
      <c r="D328" s="12">
        <v>4</v>
      </c>
      <c r="E328" s="12">
        <v>4.0999999999999996</v>
      </c>
      <c r="F328" s="12">
        <v>3.41</v>
      </c>
      <c r="G328" s="13">
        <v>4.6100000000000003</v>
      </c>
      <c r="H328">
        <f t="shared" si="17"/>
        <v>444.44000000000034</v>
      </c>
      <c r="I328">
        <f t="shared" si="15"/>
        <v>0</v>
      </c>
      <c r="J328">
        <f t="shared" si="16"/>
        <v>0</v>
      </c>
    </row>
    <row r="329" spans="1:10" x14ac:dyDescent="0.25">
      <c r="A329" s="6">
        <v>44888</v>
      </c>
      <c r="B329" s="7">
        <v>0.29737268518518517</v>
      </c>
      <c r="C329" s="7">
        <v>0.65034722222222219</v>
      </c>
      <c r="D329" s="8">
        <v>7</v>
      </c>
      <c r="E329" s="8">
        <v>2.91</v>
      </c>
      <c r="F329" s="8">
        <v>1.06</v>
      </c>
      <c r="G329" s="9">
        <v>5.07</v>
      </c>
      <c r="H329">
        <f t="shared" si="17"/>
        <v>440.21800000000036</v>
      </c>
      <c r="I329">
        <f t="shared" si="15"/>
        <v>0</v>
      </c>
      <c r="J329">
        <f t="shared" si="16"/>
        <v>0</v>
      </c>
    </row>
    <row r="330" spans="1:10" x14ac:dyDescent="0.25">
      <c r="A330" s="10">
        <v>44889</v>
      </c>
      <c r="B330" s="11">
        <v>0.29849537037037038</v>
      </c>
      <c r="C330" s="11">
        <v>0.64961805555555552</v>
      </c>
      <c r="D330" s="12">
        <v>6</v>
      </c>
      <c r="E330" s="12">
        <v>3.18</v>
      </c>
      <c r="F330" s="12">
        <v>1.37</v>
      </c>
      <c r="G330" s="13">
        <v>4.16</v>
      </c>
      <c r="H330">
        <f t="shared" si="17"/>
        <v>437.15400000000034</v>
      </c>
      <c r="I330">
        <f t="shared" si="15"/>
        <v>0</v>
      </c>
      <c r="J330">
        <f t="shared" si="16"/>
        <v>0</v>
      </c>
    </row>
    <row r="331" spans="1:10" x14ac:dyDescent="0.25">
      <c r="A331" s="6">
        <v>44890</v>
      </c>
      <c r="B331" s="7">
        <v>0.2996064814814815</v>
      </c>
      <c r="C331" s="7">
        <v>0.64892361111111108</v>
      </c>
      <c r="D331" s="8">
        <v>7</v>
      </c>
      <c r="E331" s="8">
        <v>2.52</v>
      </c>
      <c r="F331" s="8">
        <v>1.46</v>
      </c>
      <c r="G331" s="9">
        <v>5.24</v>
      </c>
      <c r="H331">
        <f t="shared" si="17"/>
        <v>433.08200000000033</v>
      </c>
      <c r="I331">
        <f t="shared" si="15"/>
        <v>0</v>
      </c>
      <c r="J331">
        <f t="shared" si="16"/>
        <v>0</v>
      </c>
    </row>
    <row r="332" spans="1:10" x14ac:dyDescent="0.25">
      <c r="A332" s="10">
        <v>44891</v>
      </c>
      <c r="B332" s="11">
        <v>0.30069444444444443</v>
      </c>
      <c r="C332" s="11">
        <v>0.64826388888888886</v>
      </c>
      <c r="D332" s="12">
        <v>6</v>
      </c>
      <c r="E332" s="12">
        <v>3.85</v>
      </c>
      <c r="F332" s="12">
        <v>1.1599999999999999</v>
      </c>
      <c r="G332" s="13">
        <v>6.08</v>
      </c>
      <c r="H332">
        <f t="shared" si="17"/>
        <v>427.93000000000035</v>
      </c>
      <c r="I332">
        <f t="shared" si="15"/>
        <v>0</v>
      </c>
      <c r="J332">
        <f t="shared" si="16"/>
        <v>0</v>
      </c>
    </row>
    <row r="333" spans="1:10" x14ac:dyDescent="0.25">
      <c r="A333" s="6">
        <v>44892</v>
      </c>
      <c r="B333" s="7">
        <v>0.30177083333333332</v>
      </c>
      <c r="C333" s="7">
        <v>0.64763888888888888</v>
      </c>
      <c r="D333" s="8">
        <v>8</v>
      </c>
      <c r="E333" s="8">
        <v>1.84</v>
      </c>
      <c r="F333" s="8">
        <v>0.47</v>
      </c>
      <c r="G333" s="9">
        <v>4.66</v>
      </c>
      <c r="H333">
        <f t="shared" si="17"/>
        <v>423.6460000000003</v>
      </c>
      <c r="I333">
        <f t="shared" si="15"/>
        <v>0</v>
      </c>
      <c r="J333">
        <f t="shared" si="16"/>
        <v>0</v>
      </c>
    </row>
    <row r="334" spans="1:10" x14ac:dyDescent="0.25">
      <c r="A334" s="10">
        <v>44893</v>
      </c>
      <c r="B334" s="11">
        <v>0.30282407407407408</v>
      </c>
      <c r="C334" s="11">
        <v>0.64704861111111112</v>
      </c>
      <c r="D334" s="12">
        <v>8</v>
      </c>
      <c r="E334" s="12">
        <v>1.59</v>
      </c>
      <c r="F334" s="12">
        <v>0.42</v>
      </c>
      <c r="G334" s="13">
        <v>4.9800000000000004</v>
      </c>
      <c r="H334">
        <f t="shared" si="17"/>
        <v>419.00200000000029</v>
      </c>
      <c r="I334">
        <f t="shared" si="15"/>
        <v>0</v>
      </c>
      <c r="J334">
        <f t="shared" si="16"/>
        <v>0</v>
      </c>
    </row>
    <row r="335" spans="1:10" x14ac:dyDescent="0.25">
      <c r="A335" s="6">
        <v>44894</v>
      </c>
      <c r="B335" s="7">
        <v>0.30385416666666665</v>
      </c>
      <c r="C335" s="7">
        <v>0.64649305555555558</v>
      </c>
      <c r="D335" s="8">
        <v>8</v>
      </c>
      <c r="E335" s="8">
        <v>1.34</v>
      </c>
      <c r="F335" s="8">
        <v>0.27</v>
      </c>
      <c r="G335" s="9">
        <v>3.95</v>
      </c>
      <c r="H335">
        <f t="shared" si="17"/>
        <v>415.26800000000031</v>
      </c>
      <c r="I335">
        <f t="shared" si="15"/>
        <v>0</v>
      </c>
      <c r="J335">
        <f t="shared" si="16"/>
        <v>0</v>
      </c>
    </row>
    <row r="336" spans="1:10" x14ac:dyDescent="0.25">
      <c r="A336" s="10">
        <v>44895</v>
      </c>
      <c r="B336" s="11">
        <v>0.30487268518518518</v>
      </c>
      <c r="C336" s="11">
        <v>0.64597222222222217</v>
      </c>
      <c r="D336" s="12">
        <v>8</v>
      </c>
      <c r="E336" s="12">
        <v>1.1399999999999999</v>
      </c>
      <c r="F336" s="12">
        <v>0</v>
      </c>
      <c r="G336" s="13">
        <v>7.02</v>
      </c>
      <c r="H336">
        <f t="shared" si="17"/>
        <v>408.24800000000033</v>
      </c>
      <c r="I336">
        <f t="shared" si="15"/>
        <v>0</v>
      </c>
      <c r="J336">
        <f t="shared" si="16"/>
        <v>0</v>
      </c>
    </row>
    <row r="337" spans="1:10" x14ac:dyDescent="0.25">
      <c r="A337" s="6">
        <v>44896</v>
      </c>
      <c r="B337" s="7">
        <v>0.30586805555555557</v>
      </c>
      <c r="C337" s="7">
        <v>0.64549768518518513</v>
      </c>
      <c r="D337" s="8">
        <v>7</v>
      </c>
      <c r="E337" s="8">
        <v>2.4900000000000002</v>
      </c>
      <c r="F337" s="8">
        <v>1.06</v>
      </c>
      <c r="G337" s="9">
        <v>6.09</v>
      </c>
      <c r="H337">
        <f t="shared" si="17"/>
        <v>403.00600000000037</v>
      </c>
      <c r="I337">
        <f t="shared" si="15"/>
        <v>0</v>
      </c>
      <c r="J337">
        <f t="shared" si="16"/>
        <v>0</v>
      </c>
    </row>
    <row r="338" spans="1:10" x14ac:dyDescent="0.25">
      <c r="A338" s="10">
        <v>44897</v>
      </c>
      <c r="B338" s="11">
        <v>0.30684027777777778</v>
      </c>
      <c r="C338" s="11">
        <v>0.64504629629629628</v>
      </c>
      <c r="D338" s="12">
        <v>6</v>
      </c>
      <c r="E338" s="12">
        <v>2.37</v>
      </c>
      <c r="F338" s="12">
        <v>1.6</v>
      </c>
      <c r="G338" s="13">
        <v>5.87</v>
      </c>
      <c r="H338">
        <f t="shared" si="17"/>
        <v>398.41600000000034</v>
      </c>
      <c r="I338">
        <f t="shared" si="15"/>
        <v>0</v>
      </c>
      <c r="J338">
        <f t="shared" si="16"/>
        <v>0</v>
      </c>
    </row>
    <row r="339" spans="1:10" x14ac:dyDescent="0.25">
      <c r="A339" s="6">
        <v>44898</v>
      </c>
      <c r="B339" s="7">
        <v>0.30778935185185186</v>
      </c>
      <c r="C339" s="7">
        <v>0.6446412037037037</v>
      </c>
      <c r="D339" s="8">
        <v>5</v>
      </c>
      <c r="E339" s="8">
        <v>3.36</v>
      </c>
      <c r="F339" s="8">
        <v>2.41</v>
      </c>
      <c r="G339" s="9">
        <v>4.95</v>
      </c>
      <c r="H339">
        <f t="shared" si="17"/>
        <v>395.39400000000035</v>
      </c>
      <c r="I339">
        <f t="shared" si="15"/>
        <v>0</v>
      </c>
      <c r="J339">
        <f t="shared" si="16"/>
        <v>0</v>
      </c>
    </row>
    <row r="340" spans="1:10" x14ac:dyDescent="0.25">
      <c r="A340" s="10">
        <v>44899</v>
      </c>
      <c r="B340" s="11">
        <v>0.3087152777777778</v>
      </c>
      <c r="C340" s="11">
        <v>0.64425925925925931</v>
      </c>
      <c r="D340" s="12">
        <v>8</v>
      </c>
      <c r="E340" s="12">
        <v>1.32</v>
      </c>
      <c r="F340" s="12">
        <v>0.54</v>
      </c>
      <c r="G340" s="13">
        <v>5.16</v>
      </c>
      <c r="H340">
        <f t="shared" si="17"/>
        <v>390.66600000000034</v>
      </c>
      <c r="I340">
        <f t="shared" si="15"/>
        <v>0</v>
      </c>
      <c r="J340">
        <f t="shared" si="16"/>
        <v>0</v>
      </c>
    </row>
    <row r="341" spans="1:10" x14ac:dyDescent="0.25">
      <c r="A341" s="6">
        <v>44900</v>
      </c>
      <c r="B341" s="7">
        <v>0.30961805555555555</v>
      </c>
      <c r="C341" s="7">
        <v>0.64393518518518522</v>
      </c>
      <c r="D341" s="8">
        <v>7</v>
      </c>
      <c r="E341" s="8">
        <v>2.48</v>
      </c>
      <c r="F341" s="8">
        <v>0.49</v>
      </c>
      <c r="G341" s="9">
        <v>5.04</v>
      </c>
      <c r="H341">
        <f t="shared" si="17"/>
        <v>386.01800000000031</v>
      </c>
      <c r="I341">
        <f t="shared" si="15"/>
        <v>0</v>
      </c>
      <c r="J341">
        <f t="shared" si="16"/>
        <v>0</v>
      </c>
    </row>
    <row r="342" spans="1:10" x14ac:dyDescent="0.25">
      <c r="A342" s="10">
        <v>44901</v>
      </c>
      <c r="B342" s="11">
        <v>0.31049768518518517</v>
      </c>
      <c r="C342" s="11">
        <v>0.64363425925925921</v>
      </c>
      <c r="D342" s="12">
        <v>7</v>
      </c>
      <c r="E342" s="12">
        <v>2.2000000000000002</v>
      </c>
      <c r="F342" s="12">
        <v>0.61</v>
      </c>
      <c r="G342" s="13">
        <v>4.92</v>
      </c>
      <c r="H342">
        <f t="shared" si="17"/>
        <v>381.5860000000003</v>
      </c>
      <c r="I342">
        <f t="shared" si="15"/>
        <v>0</v>
      </c>
      <c r="J342">
        <f t="shared" si="16"/>
        <v>0</v>
      </c>
    </row>
    <row r="343" spans="1:10" x14ac:dyDescent="0.25">
      <c r="A343" s="6">
        <v>44902</v>
      </c>
      <c r="B343" s="7">
        <v>0.31134259259259262</v>
      </c>
      <c r="C343" s="7">
        <v>0.64337962962962958</v>
      </c>
      <c r="D343" s="8">
        <v>7</v>
      </c>
      <c r="E343" s="8">
        <v>2.87</v>
      </c>
      <c r="F343" s="8">
        <v>0.35</v>
      </c>
      <c r="G343" s="9">
        <v>5.03</v>
      </c>
      <c r="H343">
        <f t="shared" si="17"/>
        <v>376.8360000000003</v>
      </c>
      <c r="I343">
        <f t="shared" si="15"/>
        <v>0</v>
      </c>
      <c r="J343">
        <f t="shared" si="16"/>
        <v>0</v>
      </c>
    </row>
    <row r="344" spans="1:10" x14ac:dyDescent="0.25">
      <c r="A344" s="10">
        <v>44903</v>
      </c>
      <c r="B344" s="11">
        <v>0.31216435185185187</v>
      </c>
      <c r="C344" s="11">
        <v>0.64317129629629632</v>
      </c>
      <c r="D344" s="12">
        <v>7</v>
      </c>
      <c r="E344" s="12">
        <v>2.8</v>
      </c>
      <c r="F344" s="12">
        <v>1.24</v>
      </c>
      <c r="G344" s="13">
        <v>4.29</v>
      </c>
      <c r="H344">
        <f t="shared" si="17"/>
        <v>373.5380000000003</v>
      </c>
      <c r="I344">
        <f t="shared" si="15"/>
        <v>0</v>
      </c>
      <c r="J344">
        <f t="shared" si="16"/>
        <v>0</v>
      </c>
    </row>
    <row r="345" spans="1:10" x14ac:dyDescent="0.25">
      <c r="A345" s="6">
        <v>44904</v>
      </c>
      <c r="B345" s="7">
        <v>0.3129513888888889</v>
      </c>
      <c r="C345" s="7">
        <v>0.64298611111111115</v>
      </c>
      <c r="D345" s="8">
        <v>6</v>
      </c>
      <c r="E345" s="8">
        <v>2.95</v>
      </c>
      <c r="F345" s="8">
        <v>1.42</v>
      </c>
      <c r="G345" s="9">
        <v>4.25</v>
      </c>
      <c r="H345">
        <f t="shared" si="17"/>
        <v>370.42400000000032</v>
      </c>
      <c r="I345">
        <f t="shared" si="15"/>
        <v>0</v>
      </c>
      <c r="J345">
        <f t="shared" si="16"/>
        <v>0</v>
      </c>
    </row>
    <row r="346" spans="1:10" x14ac:dyDescent="0.25">
      <c r="A346" s="10">
        <v>44905</v>
      </c>
      <c r="B346" s="11">
        <v>0.3137152777777778</v>
      </c>
      <c r="C346" s="11">
        <v>0.64285879629629628</v>
      </c>
      <c r="D346" s="12">
        <v>6</v>
      </c>
      <c r="E346" s="12">
        <v>3.38</v>
      </c>
      <c r="F346" s="12">
        <v>1.66</v>
      </c>
      <c r="G346" s="13">
        <v>5.07</v>
      </c>
      <c r="H346">
        <f t="shared" si="17"/>
        <v>366.6820000000003</v>
      </c>
      <c r="I346">
        <f t="shared" si="15"/>
        <v>0</v>
      </c>
      <c r="J346">
        <f t="shared" si="16"/>
        <v>0</v>
      </c>
    </row>
    <row r="347" spans="1:10" x14ac:dyDescent="0.25">
      <c r="A347" s="6">
        <v>44906</v>
      </c>
      <c r="B347" s="7">
        <v>0.31444444444444447</v>
      </c>
      <c r="C347" s="7">
        <v>0.64275462962962959</v>
      </c>
      <c r="D347" s="8">
        <v>7</v>
      </c>
      <c r="E347" s="8">
        <v>2.11</v>
      </c>
      <c r="F347" s="8">
        <v>0.84</v>
      </c>
      <c r="G347" s="9">
        <v>5.38</v>
      </c>
      <c r="H347">
        <f t="shared" si="17"/>
        <v>361.97400000000033</v>
      </c>
      <c r="I347">
        <f t="shared" si="15"/>
        <v>0</v>
      </c>
      <c r="J347">
        <f t="shared" si="16"/>
        <v>0</v>
      </c>
    </row>
    <row r="348" spans="1:10" x14ac:dyDescent="0.25">
      <c r="A348" s="10">
        <v>44907</v>
      </c>
      <c r="B348" s="11">
        <v>0.31515046296296295</v>
      </c>
      <c r="C348" s="11">
        <v>0.64269675925925929</v>
      </c>
      <c r="D348" s="12">
        <v>8</v>
      </c>
      <c r="E348" s="12">
        <v>1.31</v>
      </c>
      <c r="F348" s="12">
        <v>0.05</v>
      </c>
      <c r="G348" s="13">
        <v>6.3</v>
      </c>
      <c r="H348">
        <f t="shared" si="17"/>
        <v>355.71400000000034</v>
      </c>
      <c r="I348">
        <f t="shared" si="15"/>
        <v>0</v>
      </c>
      <c r="J348">
        <f t="shared" si="16"/>
        <v>0</v>
      </c>
    </row>
    <row r="349" spans="1:10" x14ac:dyDescent="0.25">
      <c r="A349" s="6">
        <v>44908</v>
      </c>
      <c r="B349" s="7">
        <v>0.31581018518518517</v>
      </c>
      <c r="C349" s="7">
        <v>0.64268518518518514</v>
      </c>
      <c r="D349" s="8">
        <v>7</v>
      </c>
      <c r="E349" s="8">
        <v>2.0299999999999998</v>
      </c>
      <c r="F349" s="8">
        <v>1.02</v>
      </c>
      <c r="G349" s="9">
        <v>6.12</v>
      </c>
      <c r="H349">
        <f t="shared" si="17"/>
        <v>350.41000000000031</v>
      </c>
      <c r="I349">
        <f t="shared" si="15"/>
        <v>0</v>
      </c>
      <c r="J349">
        <f t="shared" si="16"/>
        <v>0</v>
      </c>
    </row>
    <row r="350" spans="1:10" x14ac:dyDescent="0.25">
      <c r="A350" s="10">
        <v>44909</v>
      </c>
      <c r="B350" s="11">
        <v>0.31644675925925925</v>
      </c>
      <c r="C350" s="11">
        <v>0.64270833333333333</v>
      </c>
      <c r="D350" s="12">
        <v>8</v>
      </c>
      <c r="E350" s="12">
        <v>1.5</v>
      </c>
      <c r="F350" s="12">
        <v>0.14000000000000001</v>
      </c>
      <c r="G350" s="13">
        <v>6.01</v>
      </c>
      <c r="H350">
        <f t="shared" si="17"/>
        <v>344.51200000000034</v>
      </c>
      <c r="I350">
        <f t="shared" si="15"/>
        <v>0</v>
      </c>
      <c r="J350">
        <f t="shared" si="16"/>
        <v>0</v>
      </c>
    </row>
    <row r="351" spans="1:10" x14ac:dyDescent="0.25">
      <c r="A351" s="6">
        <v>44910</v>
      </c>
      <c r="B351" s="7">
        <v>0.3170486111111111</v>
      </c>
      <c r="C351" s="7">
        <v>0.64277777777777778</v>
      </c>
      <c r="D351" s="8">
        <v>5</v>
      </c>
      <c r="E351" s="8">
        <v>3.8</v>
      </c>
      <c r="F351" s="8">
        <v>0.24</v>
      </c>
      <c r="G351" s="9">
        <v>4.92</v>
      </c>
      <c r="H351">
        <f t="shared" si="17"/>
        <v>339.78400000000033</v>
      </c>
      <c r="I351">
        <f t="shared" si="15"/>
        <v>0</v>
      </c>
      <c r="J351">
        <f t="shared" si="16"/>
        <v>0</v>
      </c>
    </row>
    <row r="352" spans="1:10" x14ac:dyDescent="0.25">
      <c r="A352" s="10">
        <v>44911</v>
      </c>
      <c r="B352" s="11">
        <v>0.31761574074074073</v>
      </c>
      <c r="C352" s="11">
        <v>0.64288194444444446</v>
      </c>
      <c r="D352" s="12">
        <v>7</v>
      </c>
      <c r="E352" s="12">
        <v>2.11</v>
      </c>
      <c r="F352" s="12">
        <v>0.6</v>
      </c>
      <c r="G352" s="13">
        <v>4.95</v>
      </c>
      <c r="H352">
        <f t="shared" si="17"/>
        <v>335.31400000000036</v>
      </c>
      <c r="I352">
        <f t="shared" si="15"/>
        <v>0</v>
      </c>
      <c r="J352">
        <f t="shared" si="16"/>
        <v>0</v>
      </c>
    </row>
    <row r="353" spans="1:10" x14ac:dyDescent="0.25">
      <c r="A353" s="6">
        <v>44912</v>
      </c>
      <c r="B353" s="7">
        <v>0.31813657407407409</v>
      </c>
      <c r="C353" s="7">
        <v>0.64303240740740741</v>
      </c>
      <c r="D353" s="8">
        <v>7</v>
      </c>
      <c r="E353" s="8">
        <v>2.2200000000000002</v>
      </c>
      <c r="F353" s="8">
        <v>0.95</v>
      </c>
      <c r="G353" s="9">
        <v>6.02</v>
      </c>
      <c r="H353">
        <f t="shared" si="17"/>
        <v>330.05400000000037</v>
      </c>
      <c r="I353">
        <f t="shared" si="15"/>
        <v>0</v>
      </c>
      <c r="J353">
        <f t="shared" si="16"/>
        <v>0</v>
      </c>
    </row>
    <row r="354" spans="1:10" x14ac:dyDescent="0.25">
      <c r="A354" s="10">
        <v>44913</v>
      </c>
      <c r="B354" s="11">
        <v>0.31863425925925926</v>
      </c>
      <c r="C354" s="11">
        <v>0.64321759259259259</v>
      </c>
      <c r="D354" s="12">
        <v>7</v>
      </c>
      <c r="E354" s="12">
        <v>2.82</v>
      </c>
      <c r="F354" s="12">
        <v>0.3</v>
      </c>
      <c r="G354" s="13">
        <v>4.6500000000000004</v>
      </c>
      <c r="H354">
        <f t="shared" si="17"/>
        <v>325.6440000000004</v>
      </c>
      <c r="I354">
        <f t="shared" si="15"/>
        <v>0</v>
      </c>
      <c r="J354">
        <f t="shared" si="16"/>
        <v>0</v>
      </c>
    </row>
    <row r="355" spans="1:10" x14ac:dyDescent="0.25">
      <c r="A355" s="6">
        <v>44914</v>
      </c>
      <c r="B355" s="7">
        <v>0.3190972222222222</v>
      </c>
      <c r="C355" s="7">
        <v>0.64344907407407403</v>
      </c>
      <c r="D355" s="8">
        <v>8</v>
      </c>
      <c r="E355" s="8">
        <v>1.25</v>
      </c>
      <c r="F355" s="8">
        <v>0.32</v>
      </c>
      <c r="G355" s="9">
        <v>6.04</v>
      </c>
      <c r="H355">
        <f t="shared" si="17"/>
        <v>319.86000000000035</v>
      </c>
      <c r="I355">
        <f t="shared" si="15"/>
        <v>0</v>
      </c>
      <c r="J355">
        <f t="shared" si="16"/>
        <v>0</v>
      </c>
    </row>
    <row r="356" spans="1:10" x14ac:dyDescent="0.25">
      <c r="A356" s="10">
        <v>44915</v>
      </c>
      <c r="B356" s="11">
        <v>0.31951388888888888</v>
      </c>
      <c r="C356" s="11">
        <v>0.64371527777777782</v>
      </c>
      <c r="D356" s="12">
        <v>8</v>
      </c>
      <c r="E356" s="12">
        <v>1.55</v>
      </c>
      <c r="F356" s="12">
        <v>0.12</v>
      </c>
      <c r="G356" s="13">
        <v>4.43</v>
      </c>
      <c r="H356">
        <f t="shared" si="17"/>
        <v>315.52600000000035</v>
      </c>
      <c r="I356">
        <f t="shared" si="15"/>
        <v>0</v>
      </c>
      <c r="J356">
        <f t="shared" si="16"/>
        <v>0</v>
      </c>
    </row>
    <row r="357" spans="1:10" x14ac:dyDescent="0.25">
      <c r="A357" s="6">
        <v>44916</v>
      </c>
      <c r="B357" s="7">
        <v>0.31989583333333332</v>
      </c>
      <c r="C357" s="7">
        <v>0.64402777777777775</v>
      </c>
      <c r="D357" s="8">
        <v>8</v>
      </c>
      <c r="E357" s="8">
        <v>1.77</v>
      </c>
      <c r="F357" s="8">
        <v>0.14000000000000001</v>
      </c>
      <c r="G357" s="9">
        <v>6.21</v>
      </c>
      <c r="H357">
        <f t="shared" si="17"/>
        <v>309.4280000000004</v>
      </c>
      <c r="I357">
        <f t="shared" si="15"/>
        <v>0</v>
      </c>
      <c r="J357">
        <f t="shared" si="16"/>
        <v>0</v>
      </c>
    </row>
    <row r="358" spans="1:10" x14ac:dyDescent="0.25">
      <c r="A358" s="10">
        <v>44917</v>
      </c>
      <c r="B358" s="11">
        <v>0.32023148148148151</v>
      </c>
      <c r="C358" s="11">
        <v>0.64437500000000003</v>
      </c>
      <c r="D358" s="12">
        <v>8</v>
      </c>
      <c r="E358" s="12">
        <v>1.31</v>
      </c>
      <c r="F358" s="12">
        <v>0.17</v>
      </c>
      <c r="G358" s="13">
        <v>4.8499999999999996</v>
      </c>
      <c r="H358">
        <f t="shared" si="17"/>
        <v>304.7140000000004</v>
      </c>
      <c r="I358">
        <f t="shared" si="15"/>
        <v>0</v>
      </c>
      <c r="J358">
        <f t="shared" si="16"/>
        <v>0</v>
      </c>
    </row>
    <row r="359" spans="1:10" x14ac:dyDescent="0.25">
      <c r="A359" s="6">
        <v>44918</v>
      </c>
      <c r="B359" s="7">
        <v>0.3205439814814815</v>
      </c>
      <c r="C359" s="7">
        <v>0.64475694444444442</v>
      </c>
      <c r="D359" s="8">
        <v>6</v>
      </c>
      <c r="E359" s="8">
        <v>3.04</v>
      </c>
      <c r="F359" s="8">
        <v>0.72</v>
      </c>
      <c r="G359" s="9">
        <v>4.12</v>
      </c>
      <c r="H359">
        <f t="shared" si="17"/>
        <v>301.17000000000041</v>
      </c>
      <c r="I359">
        <f t="shared" si="15"/>
        <v>0</v>
      </c>
      <c r="J359">
        <f t="shared" si="16"/>
        <v>0</v>
      </c>
    </row>
    <row r="360" spans="1:10" x14ac:dyDescent="0.25">
      <c r="A360" s="10">
        <v>44919</v>
      </c>
      <c r="B360" s="11">
        <v>0.32081018518518517</v>
      </c>
      <c r="C360" s="11">
        <v>0.64518518518518519</v>
      </c>
      <c r="D360" s="12">
        <v>8</v>
      </c>
      <c r="E360" s="12">
        <v>1.0900000000000001</v>
      </c>
      <c r="F360" s="12">
        <v>0.09</v>
      </c>
      <c r="G360" s="13">
        <v>6.07</v>
      </c>
      <c r="H360">
        <f t="shared" si="17"/>
        <v>295.17200000000042</v>
      </c>
      <c r="I360">
        <f t="shared" si="15"/>
        <v>0</v>
      </c>
      <c r="J360">
        <f t="shared" si="16"/>
        <v>0</v>
      </c>
    </row>
    <row r="361" spans="1:10" x14ac:dyDescent="0.25">
      <c r="A361" s="6">
        <v>44920</v>
      </c>
      <c r="B361" s="7">
        <v>0.32103009259259258</v>
      </c>
      <c r="C361" s="7">
        <v>0.64564814814814819</v>
      </c>
      <c r="D361" s="8">
        <v>7</v>
      </c>
      <c r="E361" s="8">
        <v>2.92</v>
      </c>
      <c r="F361" s="8">
        <v>1.05</v>
      </c>
      <c r="G361" s="9">
        <v>4.1399999999999997</v>
      </c>
      <c r="H361">
        <f t="shared" si="17"/>
        <v>291.87200000000041</v>
      </c>
      <c r="I361">
        <f t="shared" si="15"/>
        <v>0</v>
      </c>
      <c r="J361">
        <f t="shared" si="16"/>
        <v>0</v>
      </c>
    </row>
    <row r="362" spans="1:10" x14ac:dyDescent="0.25">
      <c r="A362" s="10">
        <v>44921</v>
      </c>
      <c r="B362" s="11">
        <v>0.32121527777777775</v>
      </c>
      <c r="C362" s="11">
        <v>0.64614583333333331</v>
      </c>
      <c r="D362" s="12">
        <v>6</v>
      </c>
      <c r="E362" s="12">
        <v>3.24</v>
      </c>
      <c r="F362" s="12">
        <v>2.04</v>
      </c>
      <c r="G362" s="13">
        <v>5.0199999999999996</v>
      </c>
      <c r="H362">
        <f t="shared" si="17"/>
        <v>288.48400000000044</v>
      </c>
      <c r="I362">
        <f t="shared" si="15"/>
        <v>0</v>
      </c>
      <c r="J362">
        <f t="shared" si="16"/>
        <v>0</v>
      </c>
    </row>
    <row r="363" spans="1:10" x14ac:dyDescent="0.25">
      <c r="A363" s="6">
        <v>44922</v>
      </c>
      <c r="B363" s="7">
        <v>0.32136574074074076</v>
      </c>
      <c r="C363" s="7">
        <v>0.64667824074074076</v>
      </c>
      <c r="D363" s="8">
        <v>5</v>
      </c>
      <c r="E363" s="8">
        <v>3.79</v>
      </c>
      <c r="F363" s="8">
        <v>2.61</v>
      </c>
      <c r="G363" s="9">
        <v>4.6500000000000004</v>
      </c>
      <c r="H363">
        <f t="shared" si="17"/>
        <v>285.92200000000048</v>
      </c>
      <c r="I363">
        <f t="shared" si="15"/>
        <v>0</v>
      </c>
      <c r="J363">
        <f t="shared" si="16"/>
        <v>0</v>
      </c>
    </row>
    <row r="364" spans="1:10" x14ac:dyDescent="0.25">
      <c r="A364" s="10">
        <v>44923</v>
      </c>
      <c r="B364" s="11">
        <v>0.32146990740740738</v>
      </c>
      <c r="C364" s="11">
        <v>0.64725694444444448</v>
      </c>
      <c r="D364" s="12">
        <v>8</v>
      </c>
      <c r="E364" s="12">
        <v>1.54</v>
      </c>
      <c r="F364" s="12">
        <v>0.36</v>
      </c>
      <c r="G364" s="13">
        <v>4.1900000000000004</v>
      </c>
      <c r="H364">
        <f t="shared" si="17"/>
        <v>282.02000000000049</v>
      </c>
      <c r="I364">
        <f t="shared" si="15"/>
        <v>0</v>
      </c>
      <c r="J364">
        <f t="shared" si="16"/>
        <v>0</v>
      </c>
    </row>
    <row r="365" spans="1:10" x14ac:dyDescent="0.25">
      <c r="A365" s="6">
        <v>44924</v>
      </c>
      <c r="B365" s="7">
        <v>0.32153935185185184</v>
      </c>
      <c r="C365" s="7">
        <v>0.64787037037037032</v>
      </c>
      <c r="D365" s="8">
        <v>8</v>
      </c>
      <c r="E365" s="8">
        <v>1.21</v>
      </c>
      <c r="F365" s="8">
        <v>0.24</v>
      </c>
      <c r="G365" s="9">
        <v>5.39</v>
      </c>
      <c r="H365">
        <f t="shared" si="17"/>
        <v>276.82200000000051</v>
      </c>
      <c r="I365">
        <f t="shared" si="15"/>
        <v>0</v>
      </c>
      <c r="J365">
        <f t="shared" si="16"/>
        <v>0</v>
      </c>
    </row>
    <row r="366" spans="1:10" x14ac:dyDescent="0.25">
      <c r="A366" s="10">
        <v>44925</v>
      </c>
      <c r="B366" s="11">
        <v>0.32156249999999997</v>
      </c>
      <c r="C366" s="11">
        <v>0.64850694444444446</v>
      </c>
      <c r="D366" s="12">
        <v>5</v>
      </c>
      <c r="E366" s="12">
        <v>3.76</v>
      </c>
      <c r="F366" s="12">
        <v>0.22</v>
      </c>
      <c r="G366" s="13">
        <v>4.0599999999999996</v>
      </c>
      <c r="H366">
        <f t="shared" si="17"/>
        <v>272.9380000000005</v>
      </c>
      <c r="I366">
        <f t="shared" si="15"/>
        <v>0</v>
      </c>
      <c r="J366">
        <f t="shared" si="16"/>
        <v>0</v>
      </c>
    </row>
    <row r="367" spans="1:10" x14ac:dyDescent="0.25">
      <c r="A367" s="14">
        <v>44926</v>
      </c>
      <c r="B367" s="15">
        <v>0.32155092592592593</v>
      </c>
      <c r="C367" s="15">
        <v>0.64918981481481486</v>
      </c>
      <c r="D367" s="1">
        <v>8</v>
      </c>
      <c r="E367" s="1">
        <v>1.98</v>
      </c>
      <c r="F367" s="1">
        <v>0.03</v>
      </c>
      <c r="G367" s="2">
        <v>5.03</v>
      </c>
      <c r="H367">
        <f t="shared" si="17"/>
        <v>267.93200000000053</v>
      </c>
      <c r="I367">
        <f t="shared" si="15"/>
        <v>0</v>
      </c>
      <c r="J367">
        <f t="shared" si="16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9D4439-51AA-42C7-A361-4B72601BBA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fotowoltaika</vt:lpstr>
      <vt:lpstr>6.1</vt:lpstr>
      <vt:lpstr>6.2</vt:lpstr>
      <vt:lpstr>6.3</vt:lpstr>
      <vt:lpstr>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2025-12-16T08:25:35Z</dcterms:modified>
</cp:coreProperties>
</file>